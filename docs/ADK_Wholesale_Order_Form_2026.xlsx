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https://ycconsultingbiz425.sharepoint.com/sites/adkfragrancefarm/Shared Documents/General/ADK Wholesale &amp; Private Label/"/>
    </mc:Choice>
  </mc:AlternateContent>
  <xr:revisionPtr revIDLastSave="872" documentId="8_{3013913C-C7FB-BA46-A6D5-3B615AA33656}" xr6:coauthVersionLast="47" xr6:coauthVersionMax="47" xr10:uidLastSave="{281D7171-3F34-4B27-9CBB-1050826678F5}"/>
  <bookViews>
    <workbookView xWindow="28680" yWindow="-120" windowWidth="29040" windowHeight="17520" firstSheet="1" activeTab="1" xr2:uid="{00000000-000D-0000-FFFF-FFFF00000000}"/>
  </bookViews>
  <sheets>
    <sheet name="ADK Wholesale Order Form P1" sheetId="29" r:id="rId1"/>
    <sheet name="ADK Wholesale Order Form P2" sheetId="30" r:id="rId2"/>
    <sheet name="Project Schedule Phase 1 Old" sheetId="14" state="hidden" r:id="rId3"/>
    <sheet name="2021WK11 Sprint Summary" sheetId="20" state="hidden" r:id="rId4"/>
    <sheet name="2021WK10 Sprint Summary" sheetId="19" state="hidden" r:id="rId5"/>
    <sheet name="2021WK09 Sprint Summary" sheetId="18" state="hidden" r:id="rId6"/>
    <sheet name="2021WK08 Sprint Summary" sheetId="17" state="hidden" r:id="rId7"/>
    <sheet name="2021WK06 Sprint Summary" sheetId="16" state="hidden" r:id="rId8"/>
    <sheet name="2021WK05 Sprint Summary" sheetId="15" state="hidden" r:id="rId9"/>
    <sheet name="2021WK04 Sprint Summary" sheetId="11" state="hidden" r:id="rId10"/>
    <sheet name="WK52 Sprint Summary" sheetId="10" state="hidden" r:id="rId11"/>
    <sheet name="Alpha Work Breakdown" sheetId="1" state="hidden" r:id="rId12"/>
    <sheet name="WK50 Sprint Summary" sheetId="9" state="hidden" r:id="rId13"/>
    <sheet name="WK49 Sprint Summary" sheetId="8" state="hidden" r:id="rId14"/>
  </sheets>
  <externalReferences>
    <externalReference r:id="rId15"/>
  </externalReferences>
  <definedNames>
    <definedName name="_xlnm._FilterDatabase" localSheetId="0" hidden="1">'ADK Wholesale Order Form P1'!#REF!</definedName>
    <definedName name="_xlnm._FilterDatabase" localSheetId="1" hidden="1">'ADK Wholesale Order Form P2'!#REF!</definedName>
    <definedName name="Display_Week" localSheetId="2">'Project Schedule Phase 1 Old'!$J$4</definedName>
    <definedName name="Display_Week">[1]ProjectSchedule!$E$4</definedName>
    <definedName name="PlannedEnd" localSheetId="2">'Project Schedule Phase 1 Old'!$J1</definedName>
    <definedName name="PlannedEnd">#REF!</definedName>
    <definedName name="PlannedStart" localSheetId="2">'Project Schedule Phase 1 Old'!$I1</definedName>
    <definedName name="PlannedStart">#REF!</definedName>
    <definedName name="_xlnm.Print_Area" localSheetId="0">'ADK Wholesale Order Form P1'!$A$1:$T$48</definedName>
    <definedName name="_xlnm.Print_Area" localSheetId="1">'ADK Wholesale Order Form P2'!$A$1:$T$53</definedName>
    <definedName name="_xlnm.Print_Titles" localSheetId="2">'Project Schedule Phase 1 Old'!$4:$6</definedName>
    <definedName name="Project_Start" localSheetId="2">'Project Schedule Phase 1 Old'!$J$3</definedName>
    <definedName name="Project_Start">[1]ProjectSchedule!$E$3</definedName>
    <definedName name="task_end" localSheetId="2">'Project Schedule Phase 1 Old'!$L1</definedName>
    <definedName name="task_progress" localSheetId="2">'Project Schedule Phase 1 Old'!$H1</definedName>
    <definedName name="task_start" localSheetId="2">'Project Schedule Phase 1 Old'!$K1</definedName>
    <definedName name="today" localSheetId="2">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4" i="30" l="1"/>
  <c r="R21" i="30"/>
  <c r="R24" i="30"/>
  <c r="K11" i="30"/>
  <c r="K10" i="30"/>
  <c r="K9" i="30"/>
  <c r="K8" i="30"/>
  <c r="K7" i="30"/>
  <c r="K6" i="30"/>
  <c r="K5" i="30"/>
  <c r="K4" i="30"/>
  <c r="K3" i="30"/>
  <c r="K2" i="30"/>
  <c r="D53" i="30"/>
  <c r="D52" i="30"/>
  <c r="D51" i="30"/>
  <c r="D50" i="30"/>
  <c r="D49" i="30"/>
  <c r="D48" i="30"/>
  <c r="D47" i="30"/>
  <c r="D46" i="30"/>
  <c r="D45" i="30"/>
  <c r="D44" i="30"/>
  <c r="D43" i="30"/>
  <c r="D42" i="30"/>
  <c r="D41" i="30"/>
  <c r="D40" i="30"/>
  <c r="D39" i="30"/>
  <c r="D33" i="30"/>
  <c r="D32" i="30"/>
  <c r="D31" i="30"/>
  <c r="D30" i="30"/>
  <c r="D29" i="30"/>
  <c r="D24" i="30"/>
  <c r="D25" i="30"/>
  <c r="D26" i="30"/>
  <c r="D27" i="30"/>
  <c r="D28" i="30"/>
  <c r="D17" i="30"/>
  <c r="D16" i="30"/>
  <c r="D15" i="30"/>
  <c r="D14" i="30"/>
  <c r="D9" i="30"/>
  <c r="D10" i="30"/>
  <c r="D11" i="30"/>
  <c r="D12" i="30"/>
  <c r="R47" i="29"/>
  <c r="R45" i="29"/>
  <c r="R43" i="29"/>
  <c r="R41" i="29"/>
  <c r="R39" i="29"/>
  <c r="R37" i="29"/>
  <c r="R35" i="29"/>
  <c r="R33" i="29"/>
  <c r="R31" i="29"/>
  <c r="R29" i="29"/>
  <c r="R27" i="29"/>
  <c r="R25" i="29"/>
  <c r="R21" i="29"/>
  <c r="R19" i="29"/>
  <c r="K22" i="29"/>
  <c r="K21" i="29"/>
  <c r="K16" i="29"/>
  <c r="K15" i="29"/>
  <c r="K20" i="29"/>
  <c r="K19" i="29"/>
  <c r="K18" i="29"/>
  <c r="K14" i="29"/>
  <c r="K13" i="29"/>
  <c r="K12" i="29"/>
  <c r="K9" i="29"/>
  <c r="K10" i="29"/>
  <c r="K8" i="29"/>
  <c r="K7" i="29"/>
  <c r="K6" i="29"/>
  <c r="D42" i="29"/>
  <c r="D43" i="29"/>
  <c r="D44" i="29"/>
  <c r="D45" i="29"/>
  <c r="D46" i="29"/>
  <c r="D47" i="29"/>
  <c r="D41" i="29"/>
  <c r="D40" i="29"/>
  <c r="D39" i="29"/>
  <c r="D38" i="29"/>
  <c r="D37" i="29"/>
  <c r="D36" i="29"/>
  <c r="D35" i="29"/>
  <c r="D34" i="29"/>
  <c r="D33" i="29"/>
  <c r="D32" i="29"/>
  <c r="D31" i="29"/>
  <c r="D30" i="29"/>
  <c r="D25" i="29"/>
  <c r="D24" i="29"/>
  <c r="D23" i="29"/>
  <c r="D22" i="29"/>
  <c r="D21" i="29"/>
  <c r="D20" i="29"/>
  <c r="D19" i="29"/>
  <c r="D18" i="29"/>
  <c r="D17" i="29"/>
  <c r="K37" i="30"/>
  <c r="K22" i="30"/>
  <c r="K33" i="30"/>
  <c r="R7" i="30"/>
  <c r="K51" i="30"/>
  <c r="R39" i="30"/>
  <c r="K43" i="29"/>
  <c r="K42" i="29"/>
  <c r="K41" i="29"/>
  <c r="K40" i="29"/>
  <c r="K38" i="29"/>
  <c r="K37" i="29"/>
  <c r="K36" i="29"/>
  <c r="K35" i="29"/>
  <c r="R36" i="30"/>
  <c r="R33" i="30"/>
  <c r="K49" i="30"/>
  <c r="K47" i="30"/>
  <c r="K46" i="30"/>
  <c r="K45" i="30"/>
  <c r="K43" i="30"/>
  <c r="K42" i="30"/>
  <c r="K41" i="30"/>
  <c r="R27" i="30"/>
  <c r="K38" i="30"/>
  <c r="D38" i="30"/>
  <c r="D37" i="30"/>
  <c r="D36" i="30"/>
  <c r="D35" i="30"/>
  <c r="D34" i="30"/>
  <c r="K32" i="30"/>
  <c r="K31" i="30"/>
  <c r="R18" i="30"/>
  <c r="K30" i="30"/>
  <c r="K28" i="30"/>
  <c r="K27" i="30"/>
  <c r="K26" i="30"/>
  <c r="D23" i="30"/>
  <c r="D22" i="30"/>
  <c r="D21" i="30"/>
  <c r="R11" i="30"/>
  <c r="K21" i="30"/>
  <c r="K20" i="30"/>
  <c r="D18" i="30"/>
  <c r="R8" i="30"/>
  <c r="K19" i="30"/>
  <c r="K18" i="30"/>
  <c r="D13" i="30"/>
  <c r="D8" i="30"/>
  <c r="D7" i="30"/>
  <c r="D6" i="30"/>
  <c r="D5" i="30"/>
  <c r="D4" i="30"/>
  <c r="D2" i="30"/>
  <c r="R10" i="29"/>
  <c r="R9" i="29"/>
  <c r="R8" i="29"/>
  <c r="R7" i="29"/>
  <c r="K33" i="29"/>
  <c r="K31" i="29"/>
  <c r="K30" i="29"/>
  <c r="K28" i="29"/>
  <c r="K27" i="29"/>
  <c r="K25" i="29"/>
  <c r="R48" i="29"/>
  <c r="D28" i="29"/>
  <c r="D27" i="29"/>
  <c r="D26" i="29"/>
  <c r="R23" i="29"/>
  <c r="D15" i="29"/>
  <c r="D14" i="29"/>
  <c r="D13" i="29"/>
  <c r="R17" i="29"/>
  <c r="D12" i="29"/>
  <c r="D11" i="29"/>
  <c r="R14" i="29"/>
  <c r="D10" i="29"/>
  <c r="D9" i="29"/>
  <c r="D8" i="29"/>
  <c r="D7" i="29"/>
  <c r="F9" i="14"/>
  <c r="F10" i="14"/>
  <c r="G10" i="14"/>
  <c r="F11" i="14"/>
  <c r="G11" i="14"/>
  <c r="F12" i="14"/>
  <c r="G12" i="14"/>
  <c r="F13" i="14"/>
  <c r="G13" i="14"/>
  <c r="F14" i="14"/>
  <c r="G14" i="14"/>
  <c r="F15" i="14"/>
  <c r="G15" i="14"/>
  <c r="F16" i="14"/>
  <c r="G16" i="14"/>
  <c r="F17" i="14"/>
  <c r="G17" i="14"/>
  <c r="F18" i="14"/>
  <c r="G18" i="14"/>
  <c r="F19" i="14"/>
  <c r="G19" i="14"/>
  <c r="F20" i="14"/>
  <c r="G20" i="14"/>
  <c r="F21" i="14"/>
  <c r="G21" i="14"/>
  <c r="F22" i="14"/>
  <c r="G22" i="14"/>
  <c r="F25" i="14"/>
  <c r="G25" i="14"/>
  <c r="F26" i="14"/>
  <c r="G26" i="14"/>
  <c r="F27" i="14"/>
  <c r="G27" i="14"/>
  <c r="F28" i="14"/>
  <c r="F29" i="14"/>
  <c r="G29" i="14"/>
  <c r="F30" i="14"/>
  <c r="G30" i="14"/>
  <c r="F31" i="14"/>
  <c r="G31" i="14"/>
  <c r="F32" i="14"/>
  <c r="G32" i="14"/>
  <c r="F33" i="14"/>
  <c r="G33" i="14"/>
  <c r="F34" i="14"/>
  <c r="G34" i="14"/>
  <c r="F35" i="14"/>
  <c r="G35" i="14"/>
  <c r="F36" i="14"/>
  <c r="G36" i="14"/>
  <c r="F37" i="14"/>
  <c r="G37" i="14"/>
  <c r="F38" i="14"/>
  <c r="G38" i="14"/>
  <c r="F39" i="14"/>
  <c r="G39" i="14"/>
  <c r="F40" i="14"/>
  <c r="F41" i="14"/>
  <c r="G41" i="14"/>
  <c r="F42" i="14"/>
  <c r="G42" i="14"/>
  <c r="F43" i="14"/>
  <c r="G43" i="14"/>
  <c r="F44" i="14"/>
  <c r="G44" i="14"/>
  <c r="F24" i="14"/>
  <c r="G24" i="14"/>
  <c r="O5" i="14"/>
  <c r="O4" i="14"/>
  <c r="N7" i="14"/>
  <c r="E8" i="14"/>
  <c r="H8" i="14"/>
  <c r="N8" i="14"/>
  <c r="I9" i="14"/>
  <c r="J9" i="14"/>
  <c r="K9" i="14"/>
  <c r="L9" i="14"/>
  <c r="I10" i="14"/>
  <c r="N10" i="14"/>
  <c r="I11" i="14"/>
  <c r="N11" i="14"/>
  <c r="I12" i="14"/>
  <c r="I13" i="14"/>
  <c r="J13" i="14"/>
  <c r="I14" i="14"/>
  <c r="J14" i="14"/>
  <c r="I15" i="14"/>
  <c r="J15" i="14"/>
  <c r="K15" i="14"/>
  <c r="I16" i="14"/>
  <c r="J16" i="14"/>
  <c r="K16" i="14"/>
  <c r="L16" i="14"/>
  <c r="I17" i="14"/>
  <c r="J17" i="14"/>
  <c r="I18" i="14"/>
  <c r="J18" i="14"/>
  <c r="L17" i="14"/>
  <c r="K18" i="14"/>
  <c r="J19" i="14"/>
  <c r="I20" i="14"/>
  <c r="J20" i="14"/>
  <c r="K20" i="14"/>
  <c r="J21" i="14"/>
  <c r="N21" i="14"/>
  <c r="J22" i="14"/>
  <c r="N23" i="14"/>
  <c r="J24" i="14"/>
  <c r="L24" i="14"/>
  <c r="N24" i="14"/>
  <c r="J25" i="14"/>
  <c r="L25" i="14"/>
  <c r="J26" i="14"/>
  <c r="N26" i="14"/>
  <c r="J27" i="14"/>
  <c r="L27" i="14"/>
  <c r="N27" i="14"/>
  <c r="J28" i="14"/>
  <c r="E28" i="14"/>
  <c r="E23" i="14"/>
  <c r="J32" i="14"/>
  <c r="J33" i="14"/>
  <c r="J35" i="14"/>
  <c r="J36" i="14"/>
  <c r="J37" i="14"/>
  <c r="J38" i="14"/>
  <c r="J39" i="14"/>
  <c r="J40" i="14"/>
  <c r="E40" i="14"/>
  <c r="N43" i="14"/>
  <c r="N45" i="14"/>
  <c r="G46" i="14"/>
  <c r="N46" i="14"/>
  <c r="G50" i="14"/>
  <c r="N50" i="14"/>
  <c r="G51" i="14"/>
  <c r="N51" i="14"/>
  <c r="G52" i="14"/>
  <c r="N52" i="14"/>
  <c r="G53" i="14"/>
  <c r="N53" i="14"/>
  <c r="N54" i="14"/>
  <c r="N55" i="14"/>
  <c r="G40" i="14"/>
  <c r="F8" i="14"/>
  <c r="G28" i="14"/>
  <c r="N9" i="14"/>
  <c r="G9" i="14"/>
  <c r="G8" i="14"/>
  <c r="F23" i="14"/>
  <c r="G23" i="14"/>
  <c r="O6" i="14"/>
  <c r="P5" i="14"/>
  <c r="E11" i="1"/>
  <c r="E10" i="1"/>
  <c r="E9" i="1"/>
  <c r="E8" i="1"/>
  <c r="E7" i="1"/>
  <c r="E6" i="1"/>
  <c r="E5" i="1"/>
  <c r="E4" i="1"/>
  <c r="E3" i="1"/>
  <c r="E2" i="1"/>
  <c r="D12" i="1"/>
  <c r="C12" i="1"/>
  <c r="E12" i="1"/>
  <c r="E13" i="1"/>
  <c r="E14" i="1"/>
  <c r="Q5" i="14"/>
  <c r="P6" i="14"/>
  <c r="R5" i="14"/>
  <c r="Q6" i="14"/>
  <c r="S5" i="14"/>
  <c r="R6" i="14"/>
  <c r="T5" i="14"/>
  <c r="S6" i="14"/>
  <c r="U5" i="14"/>
  <c r="T6" i="14"/>
  <c r="V5" i="14"/>
  <c r="U6" i="14"/>
  <c r="V4" i="14"/>
  <c r="W5" i="14"/>
  <c r="V6" i="14"/>
  <c r="X5" i="14"/>
  <c r="W6" i="14"/>
  <c r="Y5" i="14"/>
  <c r="X6" i="14"/>
  <c r="Z5" i="14"/>
  <c r="Y6" i="14"/>
  <c r="AA5" i="14"/>
  <c r="Z6" i="14"/>
  <c r="AB5" i="14"/>
  <c r="AA6" i="14"/>
  <c r="AC5" i="14"/>
  <c r="AB6" i="14"/>
  <c r="AC4" i="14"/>
  <c r="AD5" i="14"/>
  <c r="AC6" i="14"/>
  <c r="AE5" i="14"/>
  <c r="AD6" i="14"/>
  <c r="AF5" i="14"/>
  <c r="AE6" i="14"/>
  <c r="AG5" i="14"/>
  <c r="AF6" i="14"/>
  <c r="AH5" i="14"/>
  <c r="AG6" i="14"/>
  <c r="AI5" i="14"/>
  <c r="AH6" i="14"/>
  <c r="AJ5" i="14"/>
  <c r="AI6" i="14"/>
  <c r="AJ4" i="14"/>
  <c r="AK5" i="14"/>
  <c r="AJ6" i="14"/>
  <c r="AL5" i="14"/>
  <c r="AK6" i="14"/>
  <c r="AM5" i="14"/>
  <c r="AL6" i="14"/>
  <c r="AN5" i="14"/>
  <c r="AM6" i="14"/>
  <c r="AO5" i="14"/>
  <c r="AN6" i="14"/>
  <c r="AP5" i="14"/>
  <c r="AO6" i="14"/>
  <c r="AQ5" i="14"/>
  <c r="AP6" i="14"/>
  <c r="AQ4" i="14"/>
  <c r="AR5" i="14"/>
  <c r="AQ6" i="14"/>
  <c r="AS5" i="14"/>
  <c r="AR6" i="14"/>
  <c r="AT5" i="14"/>
  <c r="AS6" i="14"/>
  <c r="AU5" i="14"/>
  <c r="AT6" i="14"/>
  <c r="AV5" i="14"/>
  <c r="AU6" i="14"/>
  <c r="AW5" i="14"/>
  <c r="AV6" i="14"/>
  <c r="AX5" i="14"/>
  <c r="AW6" i="14"/>
  <c r="AY5" i="14"/>
  <c r="AX6" i="14"/>
  <c r="AX4" i="14"/>
  <c r="AZ5" i="14"/>
  <c r="AY6" i="14"/>
  <c r="BA5" i="14"/>
  <c r="AZ6" i="14"/>
  <c r="BB5" i="14"/>
  <c r="BA6" i="14"/>
  <c r="BC5" i="14"/>
  <c r="BB6" i="14"/>
  <c r="BD5" i="14"/>
  <c r="BC6" i="14"/>
  <c r="BE5" i="14"/>
  <c r="BD6" i="14"/>
  <c r="BF5" i="14"/>
  <c r="BE6" i="14"/>
  <c r="BE4" i="14"/>
  <c r="BG5" i="14"/>
  <c r="BF6" i="14"/>
  <c r="BH5" i="14"/>
  <c r="BG6" i="14"/>
  <c r="BI5" i="14"/>
  <c r="BH6" i="14"/>
  <c r="BJ5" i="14"/>
  <c r="BI6" i="14"/>
  <c r="BK5" i="14"/>
  <c r="BJ6" i="14"/>
  <c r="BL5" i="14"/>
  <c r="BK6" i="14"/>
  <c r="BM5" i="14"/>
  <c r="BL6" i="14"/>
  <c r="BL4" i="14"/>
  <c r="BN5" i="14"/>
  <c r="BM6" i="14"/>
  <c r="BO5" i="14"/>
  <c r="BN6" i="14"/>
  <c r="BP5" i="14"/>
  <c r="BO6" i="14"/>
  <c r="BQ5" i="14"/>
  <c r="BP6" i="14"/>
  <c r="BR5" i="14"/>
  <c r="BQ6" i="14"/>
  <c r="BS5" i="14"/>
  <c r="BR6" i="14"/>
  <c r="BS4" i="14"/>
  <c r="BT5" i="14"/>
  <c r="BS6" i="14"/>
  <c r="BU5" i="14"/>
  <c r="BT6" i="14"/>
  <c r="BV5" i="14"/>
  <c r="BU6" i="14"/>
  <c r="BW5" i="14"/>
  <c r="BV6" i="14"/>
  <c r="BX5" i="14"/>
  <c r="BW6" i="14"/>
  <c r="BY5" i="14"/>
  <c r="BX6" i="14"/>
  <c r="BZ5" i="14"/>
  <c r="BY6" i="14"/>
  <c r="BZ4" i="14"/>
  <c r="CA5" i="14"/>
  <c r="BZ6" i="14"/>
  <c r="CB5" i="14"/>
  <c r="CA6" i="14"/>
  <c r="CC5" i="14"/>
  <c r="CB6" i="14"/>
  <c r="CD5" i="14"/>
  <c r="CC6" i="14"/>
  <c r="CE5" i="14"/>
  <c r="CD6" i="14"/>
  <c r="CF5" i="14"/>
  <c r="CE6" i="14"/>
  <c r="CG5" i="14"/>
  <c r="CF6" i="14"/>
  <c r="CG4" i="14"/>
  <c r="CH5" i="14"/>
  <c r="CG6" i="14"/>
  <c r="CI5" i="14"/>
  <c r="CH6" i="14"/>
  <c r="CJ5" i="14"/>
  <c r="CI6" i="14"/>
  <c r="CK5" i="14"/>
  <c r="CJ6" i="14"/>
  <c r="CL5" i="14"/>
  <c r="CK6" i="14"/>
  <c r="CM5" i="14"/>
  <c r="CL6" i="14"/>
  <c r="CN5" i="14"/>
  <c r="CM6" i="14"/>
  <c r="CN4" i="14"/>
  <c r="CO5" i="14"/>
  <c r="CN6" i="14"/>
  <c r="CP5" i="14"/>
  <c r="CO6" i="14"/>
  <c r="CQ5" i="14"/>
  <c r="CP6" i="14"/>
  <c r="CR5" i="14"/>
  <c r="CQ6" i="14"/>
  <c r="CS5" i="14"/>
  <c r="CR6" i="14"/>
  <c r="CT5" i="14"/>
  <c r="CS6" i="14"/>
  <c r="CU5" i="14"/>
  <c r="CT6" i="14"/>
  <c r="CU4" i="14"/>
  <c r="CV5" i="14"/>
  <c r="CU6" i="14"/>
  <c r="CW5" i="14"/>
  <c r="CV6" i="14"/>
  <c r="CX5" i="14"/>
  <c r="CW6" i="14"/>
  <c r="CY5" i="14"/>
  <c r="CX6" i="14"/>
  <c r="CZ5" i="14"/>
  <c r="CY6" i="14"/>
  <c r="DA5" i="14"/>
  <c r="CZ6" i="14"/>
  <c r="DB5" i="14"/>
  <c r="DA6" i="14"/>
  <c r="DC5" i="14"/>
  <c r="DB6" i="14"/>
  <c r="DB4" i="14"/>
  <c r="DD5" i="14"/>
  <c r="DC6" i="14"/>
  <c r="DE5" i="14"/>
  <c r="DD6" i="14"/>
  <c r="DF5" i="14"/>
  <c r="DE6" i="14"/>
  <c r="DG5" i="14"/>
  <c r="DF6" i="14"/>
  <c r="DH5" i="14"/>
  <c r="DG6" i="14"/>
  <c r="DI5" i="14"/>
  <c r="DH6" i="14"/>
  <c r="DJ5" i="14"/>
  <c r="DI6" i="14"/>
  <c r="DI4" i="14"/>
  <c r="DK5" i="14"/>
  <c r="DJ6" i="14"/>
  <c r="DL5" i="14"/>
  <c r="DK6" i="14"/>
  <c r="DM5" i="14"/>
  <c r="DL6" i="14"/>
  <c r="DN5" i="14"/>
  <c r="DM6" i="14"/>
  <c r="DO5" i="14"/>
  <c r="DN6" i="14"/>
  <c r="DP5" i="14"/>
  <c r="DO6" i="14"/>
  <c r="DQ5" i="14"/>
  <c r="DP6" i="14"/>
  <c r="DP4" i="14"/>
  <c r="DR5" i="14"/>
  <c r="DQ6" i="14"/>
  <c r="DS5" i="14"/>
  <c r="DR6" i="14"/>
  <c r="DT5" i="14"/>
  <c r="DS6" i="14"/>
  <c r="DU5" i="14"/>
  <c r="DT6" i="14"/>
  <c r="DV5" i="14"/>
  <c r="DU6" i="14"/>
  <c r="DW5" i="14"/>
  <c r="DV6" i="14"/>
  <c r="DW4" i="14"/>
  <c r="DX5" i="14"/>
  <c r="DW6" i="14"/>
  <c r="DY5" i="14"/>
  <c r="DX6" i="14"/>
  <c r="DZ5" i="14"/>
  <c r="DY6" i="14"/>
  <c r="EA5" i="14"/>
  <c r="DZ6" i="14"/>
  <c r="EB5" i="14"/>
  <c r="EA6" i="14"/>
  <c r="EC5" i="14"/>
  <c r="EB6" i="14"/>
  <c r="ED5" i="14"/>
  <c r="EC6" i="14"/>
  <c r="ED4" i="14"/>
  <c r="EE5" i="14"/>
  <c r="ED6" i="14"/>
  <c r="EF5" i="14"/>
  <c r="EE6" i="14"/>
  <c r="EG5" i="14"/>
  <c r="EF6" i="14"/>
  <c r="EH5" i="14"/>
  <c r="EG6" i="14"/>
  <c r="EI5" i="14"/>
  <c r="EH6" i="14"/>
  <c r="EJ5" i="14"/>
  <c r="EI6" i="14"/>
  <c r="EK5" i="14"/>
  <c r="EJ6" i="14"/>
  <c r="EK4" i="14"/>
  <c r="EL5" i="14"/>
  <c r="EK6" i="14"/>
  <c r="EM5" i="14"/>
  <c r="EL6" i="14"/>
  <c r="EN5" i="14"/>
  <c r="EM6" i="14"/>
  <c r="EO5" i="14"/>
  <c r="EN6" i="14"/>
  <c r="EP5" i="14"/>
  <c r="EO6" i="14"/>
  <c r="EQ5" i="14"/>
  <c r="EP6" i="14"/>
  <c r="ER5" i="14"/>
  <c r="EQ6" i="14"/>
  <c r="ER4" i="14"/>
  <c r="ES5" i="14"/>
  <c r="ER6" i="14"/>
  <c r="ET5" i="14"/>
  <c r="ES6" i="14"/>
  <c r="EU5" i="14"/>
  <c r="ET6" i="14"/>
  <c r="EV5" i="14"/>
  <c r="EU6" i="14"/>
  <c r="EW5" i="14"/>
  <c r="EV6" i="14"/>
  <c r="EX5" i="14"/>
  <c r="EW6" i="14"/>
  <c r="EY5" i="14"/>
  <c r="EX6" i="14"/>
  <c r="EY4" i="14"/>
  <c r="EZ5" i="14"/>
  <c r="EY6" i="14"/>
  <c r="FA5" i="14"/>
  <c r="EZ6" i="14"/>
  <c r="FB5" i="14"/>
  <c r="FA6" i="14"/>
  <c r="FC5" i="14"/>
  <c r="FB6" i="14"/>
  <c r="FD5" i="14"/>
  <c r="FC6" i="14"/>
  <c r="FE5" i="14"/>
  <c r="FD6" i="14"/>
  <c r="FF5" i="14"/>
  <c r="FE6" i="14"/>
  <c r="FG5" i="14"/>
  <c r="FF6" i="14"/>
  <c r="FF4" i="14"/>
  <c r="FH5" i="14"/>
  <c r="FG6" i="14"/>
  <c r="FI5" i="14"/>
  <c r="FH6" i="14"/>
  <c r="FJ5" i="14"/>
  <c r="FI6" i="14"/>
  <c r="FK5" i="14"/>
  <c r="FJ6" i="14"/>
  <c r="FL5" i="14"/>
  <c r="FK6" i="14"/>
  <c r="FM5" i="14"/>
  <c r="FL6" i="14"/>
  <c r="FN5" i="14"/>
  <c r="FM6" i="14"/>
  <c r="FM4" i="14"/>
  <c r="FO5" i="14"/>
  <c r="FN6" i="14"/>
  <c r="FP5" i="14"/>
  <c r="FO6" i="14"/>
  <c r="FQ5" i="14"/>
  <c r="FP6" i="14"/>
  <c r="FR5" i="14"/>
  <c r="FQ6" i="14"/>
  <c r="FS5" i="14"/>
  <c r="FR6" i="14"/>
  <c r="FT5" i="14"/>
  <c r="FS6" i="14"/>
  <c r="FU5" i="14"/>
  <c r="FT6" i="14"/>
  <c r="FT4" i="14"/>
  <c r="FV5" i="14"/>
  <c r="FU6" i="14"/>
  <c r="FW5" i="14"/>
  <c r="FV6" i="14"/>
  <c r="FX5" i="14"/>
  <c r="FW6" i="14"/>
  <c r="FY5" i="14"/>
  <c r="FX6" i="14"/>
  <c r="FZ5" i="14"/>
  <c r="FY6" i="14"/>
  <c r="GA5" i="14"/>
  <c r="FZ6" i="14"/>
  <c r="GA4" i="14"/>
  <c r="GB5" i="14"/>
  <c r="GA6" i="14"/>
  <c r="GC5" i="14"/>
  <c r="GB6" i="14"/>
  <c r="GD5" i="14"/>
  <c r="GC6" i="14"/>
  <c r="GE5" i="14"/>
  <c r="GD6" i="14"/>
  <c r="GF5" i="14"/>
  <c r="GE6" i="14"/>
  <c r="GG5" i="14"/>
  <c r="GF6" i="14"/>
  <c r="GH5" i="14"/>
  <c r="GG6" i="14"/>
  <c r="GH4" i="14"/>
  <c r="GH6" i="14"/>
  <c r="GI5" i="14"/>
  <c r="GJ5" i="14"/>
  <c r="GI6" i="14"/>
  <c r="GK5" i="14"/>
  <c r="GJ6" i="14"/>
  <c r="GL5" i="14"/>
  <c r="GK6" i="14"/>
  <c r="GM5" i="14"/>
  <c r="GL6" i="14"/>
  <c r="GN5" i="14"/>
  <c r="GM6" i="14"/>
  <c r="GO5" i="14"/>
  <c r="GN6" i="14"/>
  <c r="GO4" i="14"/>
  <c r="GP5" i="14"/>
  <c r="GO6" i="14"/>
  <c r="GP6" i="14"/>
  <c r="GQ5" i="14"/>
  <c r="GR5" i="14"/>
  <c r="GQ6" i="14"/>
  <c r="GS5" i="14"/>
  <c r="GR6" i="14"/>
  <c r="GT5" i="14"/>
  <c r="GS6" i="14"/>
  <c r="GU5" i="14"/>
  <c r="GT6" i="14"/>
  <c r="GV5" i="14"/>
  <c r="GU6" i="14"/>
  <c r="GV4" i="14"/>
  <c r="GW5" i="14"/>
  <c r="GV6" i="14"/>
  <c r="GX5" i="14"/>
  <c r="GW6" i="14"/>
  <c r="GX6" i="14"/>
  <c r="GY5" i="14"/>
  <c r="GZ5" i="14"/>
  <c r="GY6" i="14"/>
  <c r="HA5" i="14"/>
  <c r="GZ6" i="14"/>
  <c r="HB5" i="14"/>
  <c r="HA6" i="14"/>
  <c r="HC5" i="14"/>
  <c r="HB6" i="14"/>
  <c r="HC4" i="14"/>
  <c r="HD5" i="14"/>
  <c r="HC6" i="14"/>
  <c r="HE5" i="14"/>
  <c r="HD6" i="14"/>
  <c r="HF5" i="14"/>
  <c r="HE6" i="14"/>
  <c r="HF6" i="14"/>
  <c r="HG5" i="14"/>
  <c r="HH5" i="14"/>
  <c r="HG6" i="14"/>
  <c r="HI5" i="14"/>
  <c r="HH6" i="14"/>
  <c r="HJ5" i="14"/>
  <c r="HI6" i="14"/>
  <c r="HK5" i="14"/>
  <c r="HJ6" i="14"/>
  <c r="HJ4" i="14"/>
  <c r="HL5" i="14"/>
  <c r="HK6" i="14"/>
  <c r="HM5" i="14"/>
  <c r="HL6" i="14"/>
  <c r="HN5" i="14"/>
  <c r="HM6" i="14"/>
  <c r="HO5" i="14"/>
  <c r="HN6" i="14"/>
  <c r="HP5" i="14"/>
  <c r="HO6" i="14"/>
  <c r="HQ5" i="14"/>
  <c r="HP6" i="14"/>
  <c r="HR5" i="14"/>
  <c r="HQ6" i="14"/>
  <c r="HQ4" i="14"/>
  <c r="HS5" i="14"/>
  <c r="HR6" i="14"/>
  <c r="HT5" i="14"/>
  <c r="HS6" i="14"/>
  <c r="HU5" i="14"/>
  <c r="HT6" i="14"/>
  <c r="HV5" i="14"/>
  <c r="HU6" i="14"/>
  <c r="HW5" i="14"/>
  <c r="HW6" i="14"/>
  <c r="HV6" i="14"/>
</calcChain>
</file>

<file path=xl/sharedStrings.xml><?xml version="1.0" encoding="utf-8"?>
<sst xmlns="http://schemas.openxmlformats.org/spreadsheetml/2006/main" count="1073" uniqueCount="689">
  <si>
    <t>Show: _________________________</t>
  </si>
  <si>
    <t>Order Date: ______</t>
  </si>
  <si>
    <t>Ship Date: _______</t>
  </si>
  <si>
    <t>Contact Name: ______________</t>
  </si>
  <si>
    <t>Phone: _________________________</t>
  </si>
  <si>
    <t>Email: _________________________</t>
  </si>
  <si>
    <t>Store / Company Name:_____________________________</t>
  </si>
  <si>
    <t>Resale #: _________</t>
  </si>
  <si>
    <t>New Customer or Reorder: ___________________________________________</t>
  </si>
  <si>
    <t>Total Order Amount: ___________________________</t>
  </si>
  <si>
    <t>Shipping Address:_____________________________</t>
  </si>
  <si>
    <t>State: ___________</t>
  </si>
  <si>
    <t>Country:_____________</t>
  </si>
  <si>
    <t>Subtotal Amount: _____________________________________</t>
  </si>
  <si>
    <t>Card #:____________________________________________</t>
  </si>
  <si>
    <t>CVC: ___________</t>
  </si>
  <si>
    <t>Cardholder Name: _______________</t>
  </si>
  <si>
    <t>Shipping (7% of Subtotal):  ______________________________</t>
  </si>
  <si>
    <t>100% All-Natural Soy Candles</t>
  </si>
  <si>
    <t>Floral/Earthy Candles</t>
  </si>
  <si>
    <t>SKU</t>
  </si>
  <si>
    <t>SRP</t>
  </si>
  <si>
    <t>Unit</t>
  </si>
  <si>
    <t>Qty</t>
  </si>
  <si>
    <t>Total</t>
  </si>
  <si>
    <t>Gift Sets, Perfume, Room Spray and Diffuser</t>
  </si>
  <si>
    <t>Best Selling Balsam Candles</t>
  </si>
  <si>
    <t>Sweetgrass Candle 4.5oz</t>
  </si>
  <si>
    <t>FA1004001-4.5</t>
  </si>
  <si>
    <t>Gift Sets</t>
  </si>
  <si>
    <t>Balsam &amp; Cedar Candle 4.5oz</t>
  </si>
  <si>
    <t>FA1001001-4.5</t>
  </si>
  <si>
    <t>Sweetgrass Candle 10oz</t>
  </si>
  <si>
    <t>FA1004002-10</t>
  </si>
  <si>
    <t>ADK Candle Discovery Set 4.5oz x 3</t>
  </si>
  <si>
    <t>FA7000001-4.5</t>
  </si>
  <si>
    <t>Balsam &amp; Cedar Candle 10oz</t>
  </si>
  <si>
    <t>FA1001002-10</t>
  </si>
  <si>
    <t>Sweetgrass Candle 20oz</t>
  </si>
  <si>
    <t>FA1004004-20</t>
  </si>
  <si>
    <t>Holiday Candle Gift Set 10oz*3</t>
  </si>
  <si>
    <t>FA7000003-10</t>
  </si>
  <si>
    <t>Balsam &amp; Cedar Candle 20oz</t>
  </si>
  <si>
    <t>FA1001004-20</t>
  </si>
  <si>
    <t>Lily of The Valley Candle 4.5oz</t>
  </si>
  <si>
    <t>FA1020001-4.5</t>
  </si>
  <si>
    <t>6 Handmade 4oz Soap Gift Set</t>
  </si>
  <si>
    <t>FA7000007-4B</t>
  </si>
  <si>
    <t>Balsam &amp; Lavender Candle 4.5oz</t>
  </si>
  <si>
    <t>FA1002001-4.5</t>
  </si>
  <si>
    <t>Lily of The Valley Candle 10oz</t>
  </si>
  <si>
    <t>FA1020002-10</t>
  </si>
  <si>
    <t>Four Seasons Gift Set</t>
  </si>
  <si>
    <t>FA7000006-2.7</t>
  </si>
  <si>
    <t>Balsam &amp; Lavender Candle 10oz</t>
  </si>
  <si>
    <t>FA1002003-10</t>
  </si>
  <si>
    <t>Lily of The Valley Candle 20oz</t>
  </si>
  <si>
    <t>FA1020003-20</t>
  </si>
  <si>
    <t>Balsam &amp; Green Tea 4.5oz Teapot Candle Gift Set</t>
  </si>
  <si>
    <t>FP7052001-4.5</t>
  </si>
  <si>
    <t>Balsam &amp; Lavender Candle 20oz</t>
  </si>
  <si>
    <t>FA1002006-20</t>
  </si>
  <si>
    <t>Milkweed Candle 4.5oz</t>
  </si>
  <si>
    <t>FA103001-4.5</t>
  </si>
  <si>
    <t>ADK Candle Care Kit &amp; Dual 4.5 oz Candle Gift Set</t>
  </si>
  <si>
    <t>FA7000010</t>
  </si>
  <si>
    <t>Balsam Fir Candle 4.5oz</t>
  </si>
  <si>
    <t>FA1003001-4.5</t>
  </si>
  <si>
    <t>Milkweed Candle 10oz</t>
  </si>
  <si>
    <t>FA1030002-10</t>
  </si>
  <si>
    <t>Artisan Perfume</t>
  </si>
  <si>
    <t>Balsam Fir Candle 10oz</t>
  </si>
  <si>
    <t>FA1003002-10</t>
  </si>
  <si>
    <t>Milkweed Candle 20oz</t>
  </si>
  <si>
    <t>FA1030003-20</t>
  </si>
  <si>
    <t>Artisan Perfume Spray Discovery Set .07oz x 5</t>
  </si>
  <si>
    <t>FA3000001-0.07</t>
  </si>
  <si>
    <t>Balsam Fir Candle 20oz</t>
  </si>
  <si>
    <t>FA1003004-20</t>
  </si>
  <si>
    <t>Wild Rose Candle 4.5oz</t>
  </si>
  <si>
    <t>FA1021001-4.5</t>
  </si>
  <si>
    <t>Botanical Perfume Spray Discovery Set .07oz x 5</t>
  </si>
  <si>
    <t>FA3000006-.07 x 5</t>
  </si>
  <si>
    <t>Candles with a Gift Box</t>
  </si>
  <si>
    <t>Wild Rose Candle 10oz</t>
  </si>
  <si>
    <t>FA1021002-10</t>
  </si>
  <si>
    <t>Forest Serenity Perfume Spray Discovery Set .07ozx5</t>
  </si>
  <si>
    <t>FA3000010-.07x5</t>
  </si>
  <si>
    <t>Lavender Balsam Candle 4.5oz</t>
  </si>
  <si>
    <t>FA1002002-4.5B</t>
  </si>
  <si>
    <t>Wild Rose Candle 20oz</t>
  </si>
  <si>
    <t>FA1021003-20</t>
  </si>
  <si>
    <t>Balsam &amp; Cedar Artisan Perfume Spray 1oz</t>
  </si>
  <si>
    <t>FA3001001-1</t>
  </si>
  <si>
    <t>Lavender Balsam Candle 10 oz</t>
  </si>
  <si>
    <t>FA1002004-10B</t>
  </si>
  <si>
    <t>Fennel Mint Candle 4.5oz</t>
  </si>
  <si>
    <t>FA1022001-4.5</t>
  </si>
  <si>
    <t>Balsam &amp; Cedar Artisan Perfume Roller 0.33oz</t>
  </si>
  <si>
    <t>FA3001006-.33</t>
  </si>
  <si>
    <t>Lavender Balsam Candle 20 oz</t>
  </si>
  <si>
    <t>FA1002007-20B</t>
  </si>
  <si>
    <t>Fennel Mint Candle 10oz</t>
  </si>
  <si>
    <t>FA1022001-10</t>
  </si>
  <si>
    <t>Balsam &amp; Lavender Artisan Perfume Spray 1oz</t>
  </si>
  <si>
    <t>FA3002001-1</t>
  </si>
  <si>
    <t>Mountain Air Candle 4.5oz</t>
  </si>
  <si>
    <t>FA1016001-4.5B</t>
  </si>
  <si>
    <t>Fennel Mint Candle 20oz</t>
  </si>
  <si>
    <t>FA1022002-20</t>
  </si>
  <si>
    <t>Balsam &amp; Lavender Artisan Perfume Roller 0.33oz</t>
  </si>
  <si>
    <t>FA3002006-.33</t>
  </si>
  <si>
    <t>Mountain Air Candle 10oz</t>
  </si>
  <si>
    <t>FA1016002-10B</t>
  </si>
  <si>
    <t>Forget-Me-Not 4.5oz</t>
  </si>
  <si>
    <t>FA1019001-4.5</t>
  </si>
  <si>
    <t>Sweetgrass Artisan Perfume Spray 1oz</t>
  </si>
  <si>
    <t>FA3004001-1</t>
  </si>
  <si>
    <t>Mountain Air Candle 20oz</t>
  </si>
  <si>
    <t>FA1016003-20B</t>
  </si>
  <si>
    <t>Forget-Me-Not 10oz</t>
  </si>
  <si>
    <t>FA1019002-10</t>
  </si>
  <si>
    <t>Sweetgrass Artisan Perfume Roller 0.33oz</t>
  </si>
  <si>
    <t>FA3004004-.33</t>
  </si>
  <si>
    <t>Lilac Candle 4.5oz</t>
  </si>
  <si>
    <t>FA1015001-4.5B</t>
  </si>
  <si>
    <t>Forget-Me-Not 20oz</t>
  </si>
  <si>
    <t>FA1019003-20</t>
  </si>
  <si>
    <t>Lilac Botanical Perfume Spray 1oz</t>
  </si>
  <si>
    <t>FA3015001-1</t>
  </si>
  <si>
    <t>Lilac Candle 10oz</t>
  </si>
  <si>
    <t>FA1015002-10B</t>
  </si>
  <si>
    <t>Maple Candles</t>
  </si>
  <si>
    <t>Lilac Botanical Perfume Roller 0.33oz</t>
  </si>
  <si>
    <t>FA3015006-0.33</t>
  </si>
  <si>
    <t>Lilac Candle 20oz</t>
  </si>
  <si>
    <t>FA1015003-20B</t>
  </si>
  <si>
    <t>Maple Bourbon Candle 4.5oz</t>
  </si>
  <si>
    <t>FA1026001-4.5</t>
  </si>
  <si>
    <t>Wild Rose Artisan Perfume Spray 1oz</t>
  </si>
  <si>
    <t>FA3021001-1</t>
  </si>
  <si>
    <t>Shinrin Yoku Candle 4.5oz</t>
  </si>
  <si>
    <t>FA1017001-4.5B</t>
  </si>
  <si>
    <t>Maple Bourbon Candle 10oz</t>
  </si>
  <si>
    <t>FA1026002-10</t>
  </si>
  <si>
    <t>Wild Rose Artisan Perfume Roller 0.33oz</t>
  </si>
  <si>
    <t>FA3021004-.33</t>
  </si>
  <si>
    <t>Shinrin Yoku Candle 10oz</t>
  </si>
  <si>
    <t>FA1017001-10B</t>
  </si>
  <si>
    <t>Maple Bourbon Candle 20oz</t>
  </si>
  <si>
    <t>FA1026004-20</t>
  </si>
  <si>
    <t>Milkweed Flower Artisan Perfume Spray 1oz</t>
  </si>
  <si>
    <t>FA3030001-1</t>
  </si>
  <si>
    <t>Shinrin Yoku Candle 20oz</t>
  </si>
  <si>
    <t>FA1017002-20B</t>
  </si>
  <si>
    <t>Maple Cinnamon Candle 4.5oz</t>
  </si>
  <si>
    <t>FA1027001-4.5</t>
  </si>
  <si>
    <t>Milkweed Flower Artisan Perfume Roller 0.33oz</t>
  </si>
  <si>
    <t>FA3030004-.33</t>
  </si>
  <si>
    <t>Seasonal Candles</t>
  </si>
  <si>
    <t>Maple Cinnamon Candle 10oz</t>
  </si>
  <si>
    <t>FA1027002-10</t>
  </si>
  <si>
    <t>Vanilla Balsam Botanical Perfume Spray 1oz</t>
  </si>
  <si>
    <t>FA3035001-1</t>
  </si>
  <si>
    <t>Winterberry Candle 4.5oz</t>
  </si>
  <si>
    <t>FA1034001-4.5</t>
  </si>
  <si>
    <t>Maple Cinnamon Candle 20oz</t>
  </si>
  <si>
    <t>FA1027004-20</t>
  </si>
  <si>
    <t>Vanilla Balsam Botanical Perfume Roller 0.33oz</t>
  </si>
  <si>
    <t>FA3035004-0.33</t>
  </si>
  <si>
    <t>Winterberry Candle 10oz</t>
  </si>
  <si>
    <t>FA1034002-10</t>
  </si>
  <si>
    <t>Maple Vanilla Candle 4.5oz</t>
  </si>
  <si>
    <t>FA1028001-4.5</t>
  </si>
  <si>
    <t>Berries &amp; Roses Botanical Perfume Spray 1oz</t>
  </si>
  <si>
    <t>FA3069001-1</t>
  </si>
  <si>
    <t>Winterberry Candle 20oz</t>
  </si>
  <si>
    <t>FA1034005-20</t>
  </si>
  <si>
    <t>Maple Vanilla Candle 10oz</t>
  </si>
  <si>
    <t>FA1028002-10</t>
  </si>
  <si>
    <t>Berries &amp; Roses Botanical Perfume Roller 0.33oz</t>
  </si>
  <si>
    <t>FA3069004-0.33</t>
  </si>
  <si>
    <t>Sugar Cookie Candle 4.5oz</t>
  </si>
  <si>
    <t>FA1033001-4.5</t>
  </si>
  <si>
    <t>Maple Vanilla Candle 20oz</t>
  </si>
  <si>
    <t>FA1028004-20</t>
  </si>
  <si>
    <t>Patchouli Orange Botanical Perfume Spray 1oz</t>
  </si>
  <si>
    <t>FA3070001-1</t>
  </si>
  <si>
    <t>Sugar Cookie Candle 10oz</t>
  </si>
  <si>
    <t>FA1033002-10</t>
  </si>
  <si>
    <t>Room Spray</t>
  </si>
  <si>
    <t>Patchouli Orange Botanical Perfume Roller 0.33oz</t>
  </si>
  <si>
    <t>FA3070003-0.33</t>
  </si>
  <si>
    <t>Sugar Cookie Candle 20oz</t>
  </si>
  <si>
    <t>FA1033002-20</t>
  </si>
  <si>
    <t>Balsam &amp; Cedar 3.4oz</t>
  </si>
  <si>
    <t>FA3001002-3.4</t>
  </si>
  <si>
    <t>Marigold &amp; Chamomile Botanical Perfume Spray 1oz</t>
  </si>
  <si>
    <t>FA3071001-1</t>
  </si>
  <si>
    <t>Pumpkin Spice Candle 4.5oz</t>
  </si>
  <si>
    <t>FA1000004-4.5</t>
  </si>
  <si>
    <t>Balsam &amp; Lavender 3.4oz</t>
  </si>
  <si>
    <t>FA3002002-3.4</t>
  </si>
  <si>
    <t>Marigold &amp; Chamomile Botanical Perfume Roller 0.33oz</t>
  </si>
  <si>
    <t>FA3071003-0.33</t>
  </si>
  <si>
    <t>Pumpkin Spice Candle 10oz</t>
  </si>
  <si>
    <t>FA1000005-10</t>
  </si>
  <si>
    <t>Lilac 3.4oz</t>
  </si>
  <si>
    <t>FA3015002-3.4</t>
  </si>
  <si>
    <t>Balsam Fir Forest Serenity Perfume Spray 1oz</t>
  </si>
  <si>
    <t>FA3003004-1</t>
  </si>
  <si>
    <t>Pumpkin Spice Candle 20oz</t>
  </si>
  <si>
    <t>FA1000009-20</t>
  </si>
  <si>
    <t>Mountain Air 3.4oz</t>
  </si>
  <si>
    <t>FA3016002-3.4</t>
  </si>
  <si>
    <t>Balsam Fir Forest Serenity Perfume Roller .33 oz</t>
  </si>
  <si>
    <t>FA3003005-.33</t>
  </si>
  <si>
    <t>Apple Cinnamon Candle 4.5oz</t>
  </si>
  <si>
    <t>FA1000002-4.5</t>
  </si>
  <si>
    <t>Reed Diffuser</t>
  </si>
  <si>
    <t>Birch Forest Serenity Perfume Spray 1oz</t>
  </si>
  <si>
    <t>FA3073002-1</t>
  </si>
  <si>
    <t>Apple Cinnamon Candle 10oz</t>
  </si>
  <si>
    <t>FA1000003-10</t>
  </si>
  <si>
    <t>Lavender Balsam Diffuser 4oz</t>
  </si>
  <si>
    <t>FA3002005-4</t>
  </si>
  <si>
    <t>Birch Forest Serenity Perfume Roller .33 oz</t>
  </si>
  <si>
    <t>FA3073003-.33</t>
  </si>
  <si>
    <t>Apple Cinnamon Candle 20oz</t>
  </si>
  <si>
    <t>FA1000001-20</t>
  </si>
  <si>
    <t>Lilac Diffuser 4oz</t>
  </si>
  <si>
    <t>FA3015003-4</t>
  </si>
  <si>
    <t>Cedar Forest Serenity Perfume Spray 1oz</t>
  </si>
  <si>
    <t>FA3006002-1</t>
  </si>
  <si>
    <t>Bourbon Hot Chocolate 4.5oz</t>
  </si>
  <si>
    <t>FA1024001-4.5</t>
  </si>
  <si>
    <t>Mountain Air Diffuser 4oz</t>
  </si>
  <si>
    <t>FA3016003-4</t>
  </si>
  <si>
    <t>Cedar Forest Serenity Perfume Roller .33 oz</t>
  </si>
  <si>
    <t>FA3006003-.33</t>
  </si>
  <si>
    <t>Bourbon Hot Chocolate 10oz</t>
  </si>
  <si>
    <t>FA1024001-10</t>
  </si>
  <si>
    <t>Shinrin Yoku Diffuser 4oz</t>
  </si>
  <si>
    <t>FA3017003-4</t>
  </si>
  <si>
    <t>Sugar Maple Forest Serenity Perfume Spray 1oz</t>
  </si>
  <si>
    <t>FA3029002-1</t>
  </si>
  <si>
    <t>Cherry Hot Chocolate 4.5oz</t>
  </si>
  <si>
    <t>FA1025001-4.5</t>
  </si>
  <si>
    <t>Candle Care</t>
  </si>
  <si>
    <t>Sugar Maple Forest Serenity Perfume Roller .33 oz</t>
  </si>
  <si>
    <t>FA3029003-.33</t>
  </si>
  <si>
    <t>Cherry Hot Chocolate 10oz</t>
  </si>
  <si>
    <t>FA1025002-10</t>
  </si>
  <si>
    <t>Candle Care Kit</t>
  </si>
  <si>
    <t>FA000001-6</t>
  </si>
  <si>
    <t>White Pine Forest Serenity Perfume Spray 1oz</t>
  </si>
  <si>
    <t>FA3031002-1</t>
  </si>
  <si>
    <t>Hot Chocolate Candle 4.5oz</t>
  </si>
  <si>
    <t>FA1023001-4.5</t>
  </si>
  <si>
    <t>Candle Wick Trimmer</t>
  </si>
  <si>
    <t>RDP086-BIG</t>
  </si>
  <si>
    <t>White Pine Forest Serenity Perfume Roller .33 oz</t>
  </si>
  <si>
    <t>FA3031003-.33</t>
  </si>
  <si>
    <t>Hot Chocolate Candle 10oz</t>
  </si>
  <si>
    <t>FA1023002-10</t>
  </si>
  <si>
    <t>Wick Dipper</t>
  </si>
  <si>
    <t>RDP088</t>
  </si>
  <si>
    <t>Men’s Cologne 0.33oz</t>
  </si>
  <si>
    <t>FA3003001-0.33</t>
  </si>
  <si>
    <t>Candle Snuffer</t>
  </si>
  <si>
    <t>RDP089</t>
  </si>
  <si>
    <t>Men’s Cologne 3.3oz</t>
  </si>
  <si>
    <t>FA3003002-3.3</t>
  </si>
  <si>
    <t>All Natural Handmade Soap</t>
  </si>
  <si>
    <t>Outdoor</t>
  </si>
  <si>
    <t xml:space="preserve"> Balsam Unwrapped Soap Bar 1oz</t>
  </si>
  <si>
    <t>FA2003002-1U</t>
  </si>
  <si>
    <t xml:space="preserve"> Goat Milk Unwrapped Soap Bar 1oz</t>
  </si>
  <si>
    <t>FA2008001-1U</t>
  </si>
  <si>
    <t>Bug Repellent Spray 2oz</t>
  </si>
  <si>
    <t>FA8000001-2</t>
  </si>
  <si>
    <t xml:space="preserve"> Balsam Cloth Wrapped Soap Bar 2oz</t>
  </si>
  <si>
    <t>FA2003001-2W</t>
  </si>
  <si>
    <t xml:space="preserve"> Goat Milk Unwrapped Soap Bar 4oz</t>
  </si>
  <si>
    <t>FA2008002-4U</t>
  </si>
  <si>
    <t>Bug Repellent Spray 4oz</t>
  </si>
  <si>
    <t>FA8000002-4</t>
  </si>
  <si>
    <t>Balsam Unwrapped Soap Bar 4oz</t>
  </si>
  <si>
    <t>FA2003003-4U</t>
  </si>
  <si>
    <t xml:space="preserve"> Goat Milk Wrapped Soap Bar 4oz</t>
  </si>
  <si>
    <t>FA2008003-4W</t>
  </si>
  <si>
    <t xml:space="preserve">Bug Bite Soother Roll-on </t>
  </si>
  <si>
    <t>FA8000003-0.33</t>
  </si>
  <si>
    <t xml:space="preserve"> Balsam Wrapped Soap Bar 4oz</t>
  </si>
  <si>
    <t>FA2003004-4W</t>
  </si>
  <si>
    <t xml:space="preserve"> Goat Milk Boxed Soap Bar 16oz</t>
  </si>
  <si>
    <t>FA2008004-16B</t>
  </si>
  <si>
    <t>Bug Balm 2oz</t>
  </si>
  <si>
    <t>FA8000004-2</t>
  </si>
  <si>
    <t xml:space="preserve"> Balsam Labeled Boxed Soap Bar 16oz</t>
  </si>
  <si>
    <t>FA2003005-16B</t>
  </si>
  <si>
    <t xml:space="preserve"> Goat Milk Unwrapped Soap Bar 24oz</t>
  </si>
  <si>
    <t>FA2008005-24U</t>
  </si>
  <si>
    <t>Bug Wipes 18 Count</t>
  </si>
  <si>
    <t>FA8000005-18</t>
  </si>
  <si>
    <t xml:space="preserve"> Balsam Unwrapped Soap Bar 24oz</t>
  </si>
  <si>
    <t>FA2003006-24U</t>
  </si>
  <si>
    <t xml:space="preserve"> Patchouli Unwrapped Soap Bar 1oz</t>
  </si>
  <si>
    <t>FA2014001-1U</t>
  </si>
  <si>
    <t>Bug Wipes 30 Count</t>
  </si>
  <si>
    <t>FA8000006-30</t>
  </si>
  <si>
    <t xml:space="preserve"> Cedar Unwrapped Soap Bar 1oz</t>
  </si>
  <si>
    <t>FA2006001-1U</t>
  </si>
  <si>
    <t xml:space="preserve"> Patchouli Unwrapped Soap Bar 4oz</t>
  </si>
  <si>
    <t>FA2014002-4U</t>
  </si>
  <si>
    <t>Bug Repellent Tin Candle 1.3oz</t>
  </si>
  <si>
    <t>FA8000007-1.3</t>
  </si>
  <si>
    <t xml:space="preserve"> Cedar Unwrapped Soap Bar 4oz</t>
  </si>
  <si>
    <t>FA2006002-4U</t>
  </si>
  <si>
    <t xml:space="preserve"> Patchouli Wrapped Soap Bar 4oz</t>
  </si>
  <si>
    <t>FA2014003-4W</t>
  </si>
  <si>
    <t xml:space="preserve"> Cedar Wrapped Soap Bar 4oz</t>
  </si>
  <si>
    <t>FA2006003-4W</t>
  </si>
  <si>
    <t xml:space="preserve"> Patchouli Boxed Soap Bar 16oz</t>
  </si>
  <si>
    <t>FA2014004-16B</t>
  </si>
  <si>
    <t xml:space="preserve"> Cedar Boxed Soap Bar 16oz</t>
  </si>
  <si>
    <t>FA2006004-16B</t>
  </si>
  <si>
    <t xml:space="preserve"> Patchouli Unwrapped Soap Bar 24oz</t>
  </si>
  <si>
    <t>FA2014005-24U</t>
  </si>
  <si>
    <t>Bug Repellent Glass Candle 4.5oz</t>
  </si>
  <si>
    <t>FA8000008-4.5</t>
  </si>
  <si>
    <t xml:space="preserve"> Cedar Unwrapped Soap Bar 24oz</t>
  </si>
  <si>
    <t>FA2006005-24U</t>
  </si>
  <si>
    <t>Ginger Bread Soap Bar Cloth Wrapped 2oz</t>
  </si>
  <si>
    <t>FA2013004-2W</t>
  </si>
  <si>
    <t xml:space="preserve"> Birch Unwrapped Soap Bar 1oz</t>
  </si>
  <si>
    <t>FA2005001-1U</t>
  </si>
  <si>
    <t>Sugar Cookie Soap Bar Cloth Wrapped 2oz</t>
  </si>
  <si>
    <t>FA2008006-2W</t>
  </si>
  <si>
    <t xml:space="preserve"> Birch Unwrapped Soap Bar 4oz</t>
  </si>
  <si>
    <t>FA2005002-4U</t>
  </si>
  <si>
    <t>Balsam Cedar Soap Bar Cloth Wrapped 2oz</t>
  </si>
  <si>
    <t>FA2001001-2W</t>
  </si>
  <si>
    <t>Bug Repellent Glass Candle 10oz</t>
  </si>
  <si>
    <t>FA8000009-10</t>
  </si>
  <si>
    <t xml:space="preserve"> Birch Wrapped Soap Bar 4oz</t>
  </si>
  <si>
    <t>FA2005003-4W</t>
  </si>
  <si>
    <t>Winterberry Soap Bar Cloth Wrapped 2oz</t>
  </si>
  <si>
    <t>FA2007001-2W</t>
  </si>
  <si>
    <t xml:space="preserve"> Birch Boxed Soap Bar 16oz</t>
  </si>
  <si>
    <t>FA2005004-16B</t>
  </si>
  <si>
    <t>Cloth Wrapped Soap Bar Set of 6 x 2oz</t>
  </si>
  <si>
    <t>FA7000002-12W</t>
  </si>
  <si>
    <t xml:space="preserve"> Birch Unwrapped Soap Bar 24oz</t>
  </si>
  <si>
    <t>FA2005005-24U</t>
  </si>
  <si>
    <t>Deluxe Soap Bars</t>
  </si>
  <si>
    <t>Bug Repellent Soap 3oz</t>
  </si>
  <si>
    <t>FA8000010-3W</t>
  </si>
  <si>
    <t>Balsam &amp; Lavender Unwrapped Soap Bar 1oz</t>
  </si>
  <si>
    <t>FA2002001-1U</t>
  </si>
  <si>
    <t xml:space="preserve"> Mountain Air Wrapped Soap Bar 4oz</t>
  </si>
  <si>
    <t>FA2016002-4W</t>
  </si>
  <si>
    <t>Fisherman's Wrapped Soap Bar 4oz</t>
  </si>
  <si>
    <t>FA2000003-4W</t>
  </si>
  <si>
    <t>Balsam &amp; Lavender Cloth Wrapped Soap Bar 2oz</t>
  </si>
  <si>
    <t>FA2002002-2W</t>
  </si>
  <si>
    <t xml:space="preserve"> Lavender Balsam Wrapped Soap Bar 4oz</t>
  </si>
  <si>
    <t>FA2002007-4W</t>
  </si>
  <si>
    <t>Balsam &amp; Lavender Unwrapped Soap Bar 4oz</t>
  </si>
  <si>
    <t>FA2002003-4U</t>
  </si>
  <si>
    <t xml:space="preserve"> Lilac Wrapped Soap Bar 4oz</t>
  </si>
  <si>
    <t>FA2015002-4W</t>
  </si>
  <si>
    <t xml:space="preserve"> Balsam &amp; Lavender Wrapped Soap Bar 4oz</t>
  </si>
  <si>
    <t>FA2002004-4W</t>
  </si>
  <si>
    <t xml:space="preserve"> Shinrin-Yoku Wrapped Soap Bar 4oz</t>
  </si>
  <si>
    <t>FA2017002-4W</t>
  </si>
  <si>
    <t>Worker's Wrapped Soap Bar 4oz</t>
  </si>
  <si>
    <t>FA2000004-4W</t>
  </si>
  <si>
    <t xml:space="preserve"> Balsam &amp; Lavender Boxed Soap Bar 16oz</t>
  </si>
  <si>
    <t>FA2002005-16B</t>
  </si>
  <si>
    <t>Fennel - Mint Wrapped Soap Bar 4oz</t>
  </si>
  <si>
    <t>FA2022001-4W</t>
  </si>
  <si>
    <t xml:space="preserve"> Balsam &amp; Lavender Unwrapped Soap Bar 24oz</t>
  </si>
  <si>
    <t>FA2002006-24U</t>
  </si>
  <si>
    <t>Soap Ends</t>
  </si>
  <si>
    <t xml:space="preserve"> Mud &amp; Roses Unwrapped Soap Bar 1oz</t>
  </si>
  <si>
    <t>FA2011001-1U</t>
  </si>
  <si>
    <t>Handmade Soap Ends 1.5 pounds / 24oz</t>
  </si>
  <si>
    <t>FA2000005-24</t>
  </si>
  <si>
    <t>Hunter’s Bro’  Soap &amp; Shampoo Bar 4oz</t>
  </si>
  <si>
    <t>FA2000001-4W</t>
  </si>
  <si>
    <t xml:space="preserve"> Mud &amp; Roses Unwrapped Soap Bar 4oz</t>
  </si>
  <si>
    <t>FA2011002-4U</t>
  </si>
  <si>
    <t>Wash Cloth</t>
  </si>
  <si>
    <t xml:space="preserve"> Mud &amp; Roses Wrapped Soap Bar 4oz</t>
  </si>
  <si>
    <t>FA2011003-4W</t>
  </si>
  <si>
    <t>Organic Washcloth - Cream</t>
  </si>
  <si>
    <t>FA9000024</t>
  </si>
  <si>
    <t xml:space="preserve"> Mud &amp; Roses Boxed Soap Bar 16oz</t>
  </si>
  <si>
    <t>FA2011004-16B</t>
  </si>
  <si>
    <t>Organic Washcloth - Vicuna</t>
  </si>
  <si>
    <t>FA9000002</t>
  </si>
  <si>
    <t>Pink Camo Unscented  Soap &amp; Shampoo Bar 4oz</t>
  </si>
  <si>
    <t>FA2000002-4W</t>
  </si>
  <si>
    <t xml:space="preserve"> Mud &amp; Roses Unwrapped Soap Bar 24oz</t>
  </si>
  <si>
    <t>FA2011005-24U</t>
  </si>
  <si>
    <t>Organic Washcloth - Sage</t>
  </si>
  <si>
    <t>FA9000003</t>
  </si>
  <si>
    <t>Marigold Unwrapped Soap Bar 1oz</t>
  </si>
  <si>
    <t>FA2010001-1U</t>
  </si>
  <si>
    <t>Hand Cream &amp; Body Lotion/Wash</t>
  </si>
  <si>
    <t>Marigold Unwrapped Soap Bar 4oz</t>
  </si>
  <si>
    <t>FA2010002-4U</t>
  </si>
  <si>
    <t>Balsam &amp; Cedar Hand Cream 2.3oz</t>
  </si>
  <si>
    <t>FA4001001-2.3</t>
  </si>
  <si>
    <t>Hair Care</t>
  </si>
  <si>
    <t>Marigold Wrapped Soap Bar 4oz</t>
  </si>
  <si>
    <t>FA2010003-4W</t>
  </si>
  <si>
    <t>Balsam &amp; Cedar Body Lotion 8oz</t>
  </si>
  <si>
    <t>FA4001002-8</t>
  </si>
  <si>
    <t>Lavender Balsam Shampoo Bar</t>
  </si>
  <si>
    <t>FA5002001-2.5B</t>
  </si>
  <si>
    <t xml:space="preserve"> Marigold Boxed Soap Bar 16oz</t>
  </si>
  <si>
    <t>FA2010004-16B</t>
  </si>
  <si>
    <t>Balsam &amp; Lavender Body Lotion 8oz</t>
  </si>
  <si>
    <t>FA4002002-8</t>
  </si>
  <si>
    <t>Lilac Shampoo Bar 2.5oz</t>
  </si>
  <si>
    <t>FA5016001-2.5B</t>
  </si>
  <si>
    <t xml:space="preserve"> Marigold Unwrapped Soap Bar 24oz</t>
  </si>
  <si>
    <t>FA2010005-24U</t>
  </si>
  <si>
    <t>Balsam &amp; Lavender Body Wash 8oz</t>
  </si>
  <si>
    <t>FA4002004-8</t>
  </si>
  <si>
    <t>Mountain Air Shampoo Bar 2.5oz</t>
  </si>
  <si>
    <t xml:space="preserve"> Chaga Mushroom Unwrapped Soap Bar 1oz</t>
  </si>
  <si>
    <t>FA2009001-1U</t>
  </si>
  <si>
    <t>Balsam &amp; Cedar Body Wash 8oz</t>
  </si>
  <si>
    <t>FA4001005-9</t>
  </si>
  <si>
    <t xml:space="preserve"> Chaga Mushroom Unwrapped Soap Bar 4oz</t>
  </si>
  <si>
    <t>FA2009002-4U</t>
  </si>
  <si>
    <t>Balsam &amp; Lavender Hand Cream 2.3oz</t>
  </si>
  <si>
    <t>FA4002005-2.3</t>
  </si>
  <si>
    <t xml:space="preserve"> Chaga Mushroom Wrapped Soap Bar 4oz</t>
  </si>
  <si>
    <t>FA2009003-4W</t>
  </si>
  <si>
    <t>Balsam &amp; Lavender Hand Cream 4oz</t>
  </si>
  <si>
    <t>FA4002006-4</t>
  </si>
  <si>
    <t>Shinrin Yoku Shampoo Bar 2.5oz</t>
  </si>
  <si>
    <t>FA5017001-2.5B</t>
  </si>
  <si>
    <t xml:space="preserve"> Chaga Mushroom Boxed Soap Bar 16oz</t>
  </si>
  <si>
    <t>FA2009004-16B</t>
  </si>
  <si>
    <t>Fennel - Mint Hand Lotion 8oz</t>
  </si>
  <si>
    <t>FA4022002-8</t>
  </si>
  <si>
    <t xml:space="preserve"> Chaga Mushroom Unwrapped Soap Bar 24oz</t>
  </si>
  <si>
    <t>FA2009005-24U</t>
  </si>
  <si>
    <t>Fennel - Mint Hand Soap 8oz</t>
  </si>
  <si>
    <t>FA4022001-8</t>
  </si>
  <si>
    <t xml:space="preserve"> Cranberry &amp; Rose Unwrapped Soap Bar 1oz</t>
  </si>
  <si>
    <t>FA2007006-1U</t>
  </si>
  <si>
    <t>Lilac Body Lotion 8oz</t>
  </si>
  <si>
    <t>FA4015001-8</t>
  </si>
  <si>
    <t>Chaga Wildflower Shampoo Bar 2.5oz</t>
  </si>
  <si>
    <t>FA5009001-2.5</t>
  </si>
  <si>
    <t xml:space="preserve"> Cranberry &amp; Rose Unwrapped Soap Bar 4oz</t>
  </si>
  <si>
    <t>FA2007002-4U</t>
  </si>
  <si>
    <t>Lip Balm</t>
  </si>
  <si>
    <t xml:space="preserve">  Cranberry &amp; Rose Wrapped Soap Bar 4oz</t>
  </si>
  <si>
    <t>FA2007003-4W</t>
  </si>
  <si>
    <t>Vanilla Balsam Lip Balm 0.33oz</t>
  </si>
  <si>
    <t>FA4003001-0.135</t>
  </si>
  <si>
    <t xml:space="preserve"> Cranberry &amp; Rose Boxed Soap Bar 16oz</t>
  </si>
  <si>
    <t>FA2007004-16B</t>
  </si>
  <si>
    <t>Balsam &amp; Cedar Lip Balm 0.33oz</t>
  </si>
  <si>
    <t>FA4001003-0.135</t>
  </si>
  <si>
    <t>Fern Moss Shampoo</t>
  </si>
  <si>
    <t>FA5018001-8</t>
  </si>
  <si>
    <t xml:space="preserve"> Cranberry &amp; Rose Soap Bar 24oz</t>
  </si>
  <si>
    <t>FA2007005-24U</t>
  </si>
  <si>
    <t>Balsam &amp; Lavender Lip Balm 0.33oz</t>
  </si>
  <si>
    <t>FA4002003-0.135</t>
  </si>
  <si>
    <t>Fern Moss Conditioner</t>
  </si>
  <si>
    <t>FA5018002-8</t>
  </si>
  <si>
    <t xml:space="preserve"> Oatmeal Unwrapped Soap Bar 1oz</t>
  </si>
  <si>
    <t>FA2012001-1U</t>
  </si>
  <si>
    <t>Maple Body Milk</t>
  </si>
  <si>
    <t>Car Freshener</t>
  </si>
  <si>
    <t xml:space="preserve"> Oatmeal Unwrapped Soap Bar 4oz</t>
  </si>
  <si>
    <t>FA2012002-4U</t>
  </si>
  <si>
    <t>Maple Cinnamon Body Milk 8oz</t>
  </si>
  <si>
    <t>FA4027001-8</t>
  </si>
  <si>
    <t xml:space="preserve">Balsam &amp; Cedar </t>
  </si>
  <si>
    <t>FA9001001-.2</t>
  </si>
  <si>
    <t xml:space="preserve"> Oatmeal Wrapped Soap Bar 4oz</t>
  </si>
  <si>
    <t>FA2012003-4W</t>
  </si>
  <si>
    <t>Maple Vanilla Body Milk 8oz</t>
  </si>
  <si>
    <t>FA4028001-8</t>
  </si>
  <si>
    <t>Balsam Fir</t>
  </si>
  <si>
    <t>FA9003001-.2</t>
  </si>
  <si>
    <t xml:space="preserve"> Oatmeal Boxed Soap Bar 16oz</t>
  </si>
  <si>
    <t>FA2012004-16B</t>
  </si>
  <si>
    <t>Maple Bourbon Body Milk 8oz</t>
  </si>
  <si>
    <t>FA4026001-8</t>
  </si>
  <si>
    <t xml:space="preserve">Lilac  </t>
  </si>
  <si>
    <t>FA9042001-0.2</t>
  </si>
  <si>
    <t xml:space="preserve"> Oatmeal Unwrapped Soap Bar 24oz</t>
  </si>
  <si>
    <t>FA2012005-24U</t>
  </si>
  <si>
    <t>Functional Balm</t>
  </si>
  <si>
    <t>Wax Melts 2.4oz</t>
  </si>
  <si>
    <t xml:space="preserve"> Orange Chai Unwrapped Soap Bar 1oz</t>
  </si>
  <si>
    <t>FA2013001-1U</t>
  </si>
  <si>
    <t>Muscle Rub - Warming Balm 2oz</t>
  </si>
  <si>
    <t>FA4000001-2.5</t>
  </si>
  <si>
    <t>FA1001008-2.4</t>
  </si>
  <si>
    <t xml:space="preserve"> Orange Chai Unwrapped Soap Bar 4oz</t>
  </si>
  <si>
    <t>FA2013002-4U</t>
  </si>
  <si>
    <t xml:space="preserve">Beard Care </t>
  </si>
  <si>
    <t>FA1003009-2.4</t>
  </si>
  <si>
    <t xml:space="preserve"> Orange Chai Wrapped Soap Bar 4oz</t>
  </si>
  <si>
    <t>FA2013003-4W</t>
  </si>
  <si>
    <t>Balsam &amp; Cedar Beard Balm</t>
  </si>
  <si>
    <t>FA5001002-3.5</t>
  </si>
  <si>
    <t>Balsam &amp; Lavender</t>
  </si>
  <si>
    <t>FA1002011-2.4</t>
  </si>
  <si>
    <t xml:space="preserve"> Orange Chai Boxed Soap Bar 16oz</t>
  </si>
  <si>
    <t>FA2013005-24U</t>
  </si>
  <si>
    <t>Balsam &amp; Cedar Beard Oil</t>
  </si>
  <si>
    <t>FA5001001-2</t>
  </si>
  <si>
    <t>Pumpkin Spice</t>
  </si>
  <si>
    <t>FA1000019-2.4</t>
  </si>
  <si>
    <t xml:space="preserve"> Orange Chai Unwrapped Soap Bar 24oz</t>
  </si>
  <si>
    <t>FA2013006-16B</t>
  </si>
  <si>
    <t>Balsam &amp; Cedar Beard Care Set</t>
  </si>
  <si>
    <t>FA7001003</t>
  </si>
  <si>
    <t>Apple Cinnamon</t>
  </si>
  <si>
    <t>FA1000022-2.4</t>
  </si>
  <si>
    <t>S</t>
  </si>
  <si>
    <t>Stormbreaker</t>
  </si>
  <si>
    <t>Enter Company Name in cell B2.</t>
  </si>
  <si>
    <t>Project Name</t>
  </si>
  <si>
    <t>Storm Breaker</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</si>
  <si>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</si>
  <si>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</si>
  <si>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</si>
  <si>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</si>
  <si>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</si>
  <si>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</si>
  <si>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</si>
  <si>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Task ID</t>
  </si>
  <si>
    <t>ASSIGNED
TO</t>
  </si>
  <si>
    <t>Hours Budgeted</t>
  </si>
  <si>
    <t>Hours Actual</t>
  </si>
  <si>
    <t>% of Budget</t>
  </si>
  <si>
    <t>PROGRESS</t>
  </si>
  <si>
    <t>Planned START</t>
  </si>
  <si>
    <t>Planned END</t>
  </si>
  <si>
    <t>Actual START</t>
  </si>
  <si>
    <t>Actual 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</si>
  <si>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</si>
  <si>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</si>
  <si>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</si>
  <si>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Alpha (UI Demo)</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</si>
  <si>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</si>
  <si>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Planning</t>
  </si>
  <si>
    <t>Alpha - Planning</t>
  </si>
  <si>
    <t>BiTS-DEV</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</si>
  <si>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</si>
  <si>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Web Application setup / continuous integration / User Rights</t>
  </si>
  <si>
    <t>Alpha - App Shell</t>
  </si>
  <si>
    <t>Landing Page Energy Modeling</t>
  </si>
  <si>
    <t>Alpha - Landing Page</t>
  </si>
  <si>
    <t>Implement and maintain unit testing throughout all app components to ensure it is client facing</t>
  </si>
  <si>
    <t>Alpha - Unit Testing</t>
  </si>
  <si>
    <t>Configure system using a site layout graphic</t>
  </si>
  <si>
    <t>Alpha - Site Layout</t>
  </si>
  <si>
    <t>Step Form: Selection of the primary and any secondary and tertiary Use Cases from a drop-down menu</t>
  </si>
  <si>
    <t>Alpha - Use Case Selection</t>
  </si>
  <si>
    <t>Export to PDF model outputs + Data Files</t>
  </si>
  <si>
    <t>Alpha - Reporting</t>
  </si>
  <si>
    <t>Product Data - Management aspect</t>
  </si>
  <si>
    <t>Alpha - Product Data</t>
  </si>
  <si>
    <t>Importing capabilities from PVsyst- Import data files-.csv or excel, API integration with Helioscope</t>
  </si>
  <si>
    <t>Alpha - Importing</t>
  </si>
  <si>
    <t>Data quality/verification step prior to model execution</t>
  </si>
  <si>
    <t>Alpha - Data Quality</t>
  </si>
  <si>
    <t>Energy Model - Augmentation curves to be modelled and added as a next step to the model</t>
  </si>
  <si>
    <t>Alpha - Energy Model - Augmentation</t>
  </si>
  <si>
    <t>Ajinkya</t>
  </si>
  <si>
    <t>Energy Model -  Data quality checks for the excel sheet imported into the model for PV generation</t>
  </si>
  <si>
    <t>Alpha - Energy Model - Model Side Data Quality Checks</t>
  </si>
  <si>
    <t>Ajinkya / Rita</t>
  </si>
  <si>
    <t>Energy Model - More Advanced Reports</t>
  </si>
  <si>
    <t>Alpha - Energy Model - Advanced Report</t>
  </si>
  <si>
    <t>Energy Model - Function to export PDF reports from the Model</t>
  </si>
  <si>
    <t>Alpha - Energy Model - PDF Report</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</si>
  <si>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</si>
  <si>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NSOP Phase 1 Features Complete</t>
  </si>
  <si>
    <t xml:space="preserve">Phase 1 </t>
  </si>
  <si>
    <t>Fine Tune and  Debug - Login Page UI Updates</t>
  </si>
  <si>
    <t>Fine Tuning / Clean up /Debug UI</t>
  </si>
  <si>
    <t>Fine Tune and  Debug - Filters for Project List</t>
  </si>
  <si>
    <t>Energy Model -  Addition of additional battery manufacturers </t>
  </si>
  <si>
    <t>Fine Tune and  Debug - Project View UI Updates</t>
  </si>
  <si>
    <t>Fine Tune and  Debug - Variant Form Standardization (Simplification of Step Form Code Task)</t>
  </si>
  <si>
    <t>Fine Tune and  Debug - Continuous Improvement</t>
  </si>
  <si>
    <t>Isometeric view - Optimal Placement Algo</t>
  </si>
  <si>
    <t>Ajinkya or BiTS-DEV</t>
  </si>
  <si>
    <t>Isometeric View - 2D Editor / Viewer</t>
  </si>
  <si>
    <t>Isometric View - 3D Renders</t>
  </si>
  <si>
    <t>Isometeric view of the system - Intergration of sketchup or a similar API to create visuals but needs to be stored in a dataset for specific projects</t>
  </si>
  <si>
    <t>Help Section - FrontEnd</t>
  </si>
  <si>
    <t>Help Section w/ Definitions</t>
  </si>
  <si>
    <t>Client Feedback Form</t>
  </si>
  <si>
    <t>User feedback</t>
  </si>
  <si>
    <t>Admin Portal - Client List, Create, Edit, View + Add User</t>
  </si>
  <si>
    <t>Admin Portal - Client Dashboard (Show Projects / Users / Subscriptions)</t>
  </si>
  <si>
    <t>Admin Portal - Client / User Invite Logic Flow</t>
  </si>
  <si>
    <t>Admin Portal - User List, Create / Invite, Edit, View</t>
  </si>
  <si>
    <t>Admin Portal - Client Feedback Management Page</t>
  </si>
  <si>
    <t>Admin Portal - Subscription Logic / Configuration</t>
  </si>
  <si>
    <t>Model - Continuous Improvement and Debug</t>
  </si>
  <si>
    <t>Help Section - Content</t>
  </si>
  <si>
    <t>Add Battery Manufacturers</t>
  </si>
  <si>
    <t>Admin pages to manage User Access and Licensing Set</t>
  </si>
  <si>
    <t>Add Page to the CEA website</t>
  </si>
  <si>
    <t>User Logging</t>
  </si>
  <si>
    <t>Demonstration to customer (Demo Data)</t>
  </si>
  <si>
    <t>Sample phase title block</t>
  </si>
  <si>
    <t>NSOP Phase 2 Complete</t>
  </si>
  <si>
    <t>Visual site Layout Selector UI</t>
  </si>
  <si>
    <t>Use Case and System Parameters UI</t>
  </si>
  <si>
    <t>Optimization Component UI/ Financial Modelling</t>
  </si>
  <si>
    <t>Financial Modelling</t>
  </si>
  <si>
    <t>This is an empty row</t>
  </si>
  <si>
    <t>This row marks the end of the Project Schedule. DO NOT enter anything in this row. 
Insert new rows ABOVE this one to continue building out your Project Schedule.</t>
  </si>
  <si>
    <t>Insert new rows ABOVE this one</t>
  </si>
  <si>
    <t>Phase 1</t>
  </si>
  <si>
    <t>WK09 Actual</t>
  </si>
  <si>
    <t>WK010 Plan</t>
  </si>
  <si>
    <t>WK10 Actual</t>
  </si>
  <si>
    <t>WK11 Plan</t>
  </si>
  <si>
    <t>Isometeric view - Optimal Placement Algo / Block Creation</t>
  </si>
  <si>
    <t>Isometeric View - 2D Editor</t>
  </si>
  <si>
    <t>Isometric View - 3D Rendering</t>
  </si>
  <si>
    <t>More Advanced Reports - Continuous Improvement</t>
  </si>
  <si>
    <t>State of Charge Model Feature</t>
  </si>
  <si>
    <t>Use Case Model Features</t>
  </si>
  <si>
    <t>Plan</t>
  </si>
  <si>
    <t>WK08 Actual</t>
  </si>
  <si>
    <t>WK09 Plan</t>
  </si>
  <si>
    <t>WK10 Plan</t>
  </si>
  <si>
    <t>WK07 Actual</t>
  </si>
  <si>
    <t>WK08 Plan</t>
  </si>
  <si>
    <t>WK05 Actual</t>
  </si>
  <si>
    <t>WK06 Plan</t>
  </si>
  <si>
    <t>WK06 Actual</t>
  </si>
  <si>
    <t>WK07 Plan</t>
  </si>
  <si>
    <t>WK04 Actual</t>
  </si>
  <si>
    <t>WK05 Plan</t>
  </si>
  <si>
    <t>WK03 Actual</t>
  </si>
  <si>
    <t>WK04 Plan</t>
  </si>
  <si>
    <t>WK52 Actual</t>
  </si>
  <si>
    <t>WK202101 Plan</t>
  </si>
  <si>
    <t>WK202101 Actual</t>
  </si>
  <si>
    <t>202102 Plan</t>
  </si>
  <si>
    <t>Selection of the primary and any secondary and tertiary Use Cases from a drop-down menu</t>
  </si>
  <si>
    <t>Energy Model -  Addition of additional battery manufacturers - MOVED TO JAN SPRINT</t>
  </si>
  <si>
    <t>Feature</t>
  </si>
  <si>
    <t>Details</t>
  </si>
  <si>
    <t>Alpha Version UI Est (Hours)</t>
  </si>
  <si>
    <t>Time Spent (Actual) (Hours)</t>
  </si>
  <si>
    <t>Remaining Work (Hours)</t>
  </si>
  <si>
    <t>Project Planning</t>
  </si>
  <si>
    <t>Landing Page</t>
  </si>
  <si>
    <t>Display of saved projects and their current status 
Ability to create new project Tutorial 
Quick Start Guide (Button)
User profile details</t>
  </si>
  <si>
    <t>Lightweight Version in Alpha</t>
  </si>
  <si>
    <t xml:space="preserve"> Storage  
 Solar + Storage</t>
  </si>
  <si>
    <t xml:space="preserve"> Alpha
1. Capacity firming 
2. Arbitrage 
3. User Defined
Multiple form based fill in pages where user is expected to provide user inputs</t>
  </si>
  <si>
    <t>Basic PDF Report</t>
  </si>
  <si>
    <t>Battery data from manufacturer for modelling   View, Import (Client profile Specific) , Export, Delete (Client profile Specific) , Custom component to be added 
Visual Representation w/ Filter, Sort and pagination</t>
  </si>
  <si>
    <t xml:space="preserve"> Basic Importing capabilities from PVsyst  Import data files .csv or excel. 
 Visual representation of what has been uploaded   (1 Data set can upload excel or csv)</t>
  </si>
  <si>
    <t xml:space="preserve"> Back end data quality checks</t>
  </si>
  <si>
    <t>Est Week Remaining</t>
  </si>
  <si>
    <t>Completion Date</t>
  </si>
  <si>
    <t>WK49 Actual</t>
  </si>
  <si>
    <t>WK50 Plan</t>
  </si>
  <si>
    <t>Wk50 Actual</t>
  </si>
  <si>
    <t>Wk51 Plan</t>
  </si>
  <si>
    <t>WK48 Actual</t>
  </si>
  <si>
    <t>WK49 Plan</t>
  </si>
  <si>
    <t>Wk49 Actual</t>
  </si>
  <si>
    <t>Wk50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</si>
</sst>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_(* #,##0.0_);_(* \(#,##0.0\);_(* &quot;-&quot;??_);_(@_)"/>
    <numFmt numFmtId="165" formatCode="m/d/yy;@"/>
    <numFmt numFmtId="166" formatCode="d"/>
    <numFmt numFmtId="167" formatCode="mmm\ d\,\ yyyy"/>
    <numFmt numFmtId="168" formatCode="ddd\,\ m/d/yyyy"/>
    <numFmt numFmtId="169" formatCode="0.0%"/>
    <numFmt numFmtId="170" formatCode="_(* #,##0_);_(* \(#,##0\);_(* &quot;-&quot;??_);_(@_)"/>
    <numFmt numFmtId="171" formatCode="&quot;$&quot;#,##0.0"/>
    <numFmt numFmtId="172" formatCode="&quot;$&quot;#,##0"/>
    <numFmt numFmtId="173" formatCode="_(&quot;$&quot;* #,##0.0_);_(&quot;$&quot;* \(#,##0.0\);_(&quot;$&quot;* &quot;-&quot;??_);_(@_)"/>
    <numFmt numFmtId="174" formatCode="_(&quot;$&quot;* #,##0_);_(&quot;$&quot;* \(#,##0\);_(&quot;$&quot;* &quot;-&quot;??_);_(@_)"/>
  </numFmts>
  <fonts count="39">
    <font>
      <sz val="11"/>
      <color theme="1"/>
      <name val="Calibri"/>
      <family val="2"/>
      <scheme val="minor"/>
    </font>
    <font>
      <sz val="12"/>
      <color theme="1"/>
      <name val="Calibri"/>
      <family val="2"/>
      <scheme val="minor"/>
    </font>
    <font>
      <sz val="11"/>
      <color theme="1"/>
      <name val="Calibri"/>
      <family val="2"/>
      <scheme val="minor"/>
    </font>
    <font>
      <sz val="18"/>
      <name val="Arial"/>
      <family val="2"/>
    </font>
    <font>
      <sz val="11"/>
      <color rgb="FF000000"/>
      <name val="Calibri"/>
      <family val="2"/>
    </font>
    <font>
      <b/>
      <sz val="10"/>
      <color rgb="FF000000"/>
      <name val="Calibri"/>
      <family val="2"/>
    </font>
    <font>
      <sz val="11"/>
      <name val="Arial"/>
      <family val="2"/>
    </font>
    <font>
      <b/>
      <sz val="12"/>
      <color rgb="FFFFFFFF"/>
      <name val="Calibri"/>
      <family val="2"/>
    </font>
    <font>
      <b/>
      <sz val="11"/>
      <color rgb="FF000000"/>
      <name val="Calibri"/>
      <family val="2"/>
    </font>
    <font>
      <b/>
      <sz val="11"/>
      <color theme="1"/>
      <name val="Calibri"/>
      <family val="2"/>
      <scheme val="minor"/>
    </font>
    <font>
      <sz val="11"/>
      <color theme="0"/>
      <name val="Calibri"/>
      <family val="2"/>
      <scheme val="minor"/>
    </font>
    <font>
      <u/>
      <sz val="11"/>
      <color indexed="12"/>
      <name val="Arial"/>
      <family val="2"/>
    </font>
    <font>
      <sz val="10"/>
      <color theme="1" tint="0.499984740745262"/>
      <name val="Arial"/>
      <family val="2"/>
    </font>
    <font>
      <b/>
      <sz val="11"/>
      <color theme="1" tint="0.499984740745262"/>
      <name val="Calibri"/>
      <family val="2"/>
      <scheme val="minor"/>
    </font>
    <font>
      <sz val="11"/>
      <name val="Calibri"/>
      <family val="2"/>
      <scheme val="minor"/>
    </font>
    <font>
      <sz val="10"/>
      <color theme="1" tint="0.499984740745262"/>
      <name val="Calibri"/>
      <family val="2"/>
      <scheme val="minor"/>
    </font>
    <font>
      <i/>
      <sz val="9"/>
      <color theme="1"/>
      <name val="Calibri"/>
      <family val="2"/>
      <scheme val="minor"/>
    </font>
    <font>
      <sz val="8"/>
      <color theme="0"/>
      <name val="Calibri"/>
      <family val="2"/>
      <scheme val="minor"/>
    </font>
    <font>
      <b/>
      <sz val="9"/>
      <color theme="0"/>
      <name val="Calibri"/>
      <family val="2"/>
      <scheme val="minor"/>
    </font>
    <font>
      <sz val="9"/>
      <name val="Calibri"/>
      <family val="2"/>
      <scheme val="minor"/>
    </font>
    <font>
      <sz val="14"/>
      <color theme="1"/>
      <name val="Calibri"/>
      <family val="2"/>
      <scheme val="minor"/>
    </font>
    <font>
      <sz val="10"/>
      <name val="Calibri"/>
      <family val="2"/>
      <scheme val="minor"/>
    </font>
    <font>
      <b/>
      <sz val="20"/>
      <color theme="4" tint="-0.249977111117893"/>
      <name val="Calibri Light"/>
      <family val="2"/>
      <scheme val="major"/>
    </font>
    <font>
      <b/>
      <sz val="22"/>
      <color theme="1" tint="0.34998626667073579"/>
      <name val="Calibri Light"/>
      <family val="2"/>
      <scheme val="major"/>
    </font>
    <font>
      <b/>
      <sz val="14"/>
      <color theme="1"/>
      <name val="Calibri"/>
      <family val="2"/>
      <scheme val="minor"/>
    </font>
    <font>
      <b/>
      <sz val="9"/>
      <color theme="1"/>
      <name val="Calibri"/>
      <family val="2"/>
      <scheme val="minor"/>
    </font>
    <font>
      <b/>
      <sz val="8"/>
      <color theme="1"/>
      <name val="Calibri"/>
      <family val="2"/>
      <scheme val="minor"/>
    </font>
    <font>
      <b/>
      <sz val="7"/>
      <color theme="1"/>
      <name val="Calibri"/>
      <family val="2"/>
      <scheme val="minor"/>
    </font>
    <font>
      <sz val="7"/>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b/>
      <sz val="12"/>
      <color theme="1"/>
      <name val="Calibri (Body)"/>
    </font>
    <font>
      <b/>
      <sz val="14"/>
      <color theme="1"/>
      <name val="Calibri (Body)"/>
    </font>
    <font>
      <sz val="5"/>
      <color theme="1"/>
      <name val="Calibri"/>
      <family val="2"/>
      <scheme val="minor"/>
    </font>
    <font>
      <b/>
      <sz val="7"/>
      <color theme="0"/>
      <name val="Calibri"/>
      <family val="2"/>
      <scheme val="minor"/>
    </font>
    <font>
      <sz val="7"/>
      <color rgb="FF000000"/>
      <name val="Calibri"/>
      <family val="2"/>
    </font>
    <font>
      <sz val="10"/>
      <color rgb="FF50575E"/>
      <name val="-Apple-System"/>
      <charset val="1"/>
    </font>
    <font>
      <sz val="6"/>
      <color rgb="FF000000"/>
      <name val="Calibri"/>
      <family val="2"/>
    </font>
  </fonts>
  <fills count="19">
    <fill>
      <patternFill patternType="none"/>
    </fill>
    <fill>
      <patternFill patternType="gray125"/>
    </fill>
    <fill>
      <patternFill patternType="solid">
        <fgColor rgb="FF84A1C2"/>
        <bgColor indexed="64"/>
      </patternFill>
    </fill>
    <fill>
      <patternFill patternType="solid">
        <fgColor rgb="FFD9E0E9"/>
        <bgColor indexed="64"/>
      </patternFill>
    </fill>
    <fill>
      <patternFill patternType="solid">
        <fgColor rgb="FFEDF0F4"/>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bgColor indexed="64"/>
      </patternFill>
    </fill>
    <fill>
      <patternFill patternType="solid">
        <fgColor rgb="FFD9D9D9"/>
        <bgColor rgb="FF000000"/>
      </patternFill>
    </fill>
  </fills>
  <borders count="33">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bottom style="medium">
        <color theme="0" tint="-0.14996795556505021"/>
      </bottom>
      <diagonal/>
    </border>
    <border>
      <left/>
      <right/>
      <top style="thin">
        <color theme="0" tint="-0.34998626667073579"/>
      </top>
      <bottom/>
      <diagonal/>
    </border>
    <border>
      <left/>
      <right style="thin">
        <color theme="0" tint="-0.34998626667073579"/>
      </right>
      <top/>
      <bottom/>
      <diagonal/>
    </border>
    <border>
      <left style="thin">
        <color theme="0" tint="-0.34998626667073579"/>
      </left>
      <right/>
      <top/>
      <bottom/>
      <diagonal/>
    </border>
    <border>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s>
  <cellStyleXfs count="15">
    <xf numFmtId="0" fontId="0" fillId="0" borderId="0"/>
    <xf numFmtId="43" fontId="2" fillId="0" borderId="0" applyFont="0" applyFill="0" applyBorder="0" applyAlignment="0" applyProtection="0"/>
    <xf numFmtId="9" fontId="2" fillId="0" borderId="0" applyFont="0" applyFill="0" applyBorder="0" applyAlignment="0" applyProtection="0"/>
    <xf numFmtId="0" fontId="10" fillId="0" borderId="0"/>
    <xf numFmtId="0" fontId="11" fillId="0" borderId="0" applyNumberFormat="0" applyFill="0" applyBorder="0" applyAlignment="0" applyProtection="0">
      <alignment vertical="top"/>
      <protection locked="0"/>
    </xf>
    <xf numFmtId="165" fontId="2" fillId="0" borderId="6" applyFill="0">
      <alignment horizontal="center" vertical="center"/>
    </xf>
    <xf numFmtId="0" fontId="2" fillId="0" borderId="6" applyFill="0">
      <alignment horizontal="center" vertical="center"/>
    </xf>
    <xf numFmtId="0" fontId="2" fillId="0" borderId="6" applyFill="0">
      <alignment horizontal="left" vertical="center" indent="2"/>
    </xf>
    <xf numFmtId="0" fontId="2" fillId="0" borderId="0" applyNumberFormat="0" applyFill="0" applyProtection="0">
      <alignment horizontal="right" indent="1"/>
    </xf>
    <xf numFmtId="168" fontId="2" fillId="0" borderId="14">
      <alignment horizontal="center" vertical="center"/>
    </xf>
    <xf numFmtId="0" fontId="20" fillId="0" borderId="0" applyNumberFormat="0" applyFill="0" applyProtection="0">
      <alignment vertical="top"/>
    </xf>
    <xf numFmtId="0" fontId="20" fillId="0" borderId="0" applyNumberFormat="0" applyFill="0" applyAlignment="0" applyProtection="0"/>
    <xf numFmtId="0" fontId="23" fillId="0" borderId="0" applyNumberFormat="0" applyFill="0" applyBorder="0" applyAlignment="0" applyProtection="0"/>
    <xf numFmtId="0" fontId="1" fillId="0" borderId="0"/>
    <xf numFmtId="44" fontId="2" fillId="0" borderId="0" applyFont="0" applyFill="0" applyBorder="0" applyAlignment="0" applyProtection="0"/>
  </cellStyleXfs>
  <cellXfs count="280">
    <xf numFmtId="0" fontId="0" fillId="0" borderId="0" xfId="0"/>
    <xf numFmtId="0" fontId="4" fillId="3" borderId="2" xfId="0" applyFont="1" applyFill="1" applyBorder="1" applyAlignment="1">
      <alignment horizontal="left" vertical="center" wrapText="1" indent="1" readingOrder="1"/>
    </xf>
    <xf numFmtId="0" fontId="4" fillId="3" borderId="3" xfId="0" applyFont="1" applyFill="1" applyBorder="1" applyAlignment="1">
      <alignment horizontal="left" vertical="center" wrapText="1" indent="1" readingOrder="1"/>
    </xf>
    <xf numFmtId="0" fontId="5" fillId="3" borderId="3" xfId="0" applyFont="1" applyFill="1" applyBorder="1" applyAlignment="1">
      <alignment horizontal="left" vertical="center" wrapText="1" indent="1" readingOrder="1"/>
    </xf>
    <xf numFmtId="0" fontId="4" fillId="4" borderId="4" xfId="0" applyFont="1" applyFill="1" applyBorder="1" applyAlignment="1">
      <alignment vertical="center" wrapText="1" readingOrder="1"/>
    </xf>
    <xf numFmtId="0" fontId="7" fillId="2" borderId="1" xfId="0" applyFont="1" applyFill="1" applyBorder="1" applyAlignment="1">
      <alignment horizontal="left" vertical="center" wrapText="1" indent="1" readingOrder="1"/>
    </xf>
    <xf numFmtId="0" fontId="3" fillId="5" borderId="3" xfId="0" applyFont="1" applyFill="1" applyBorder="1" applyAlignment="1">
      <alignment horizontal="left" vertical="center" wrapText="1" indent="1"/>
    </xf>
    <xf numFmtId="0" fontId="0" fillId="5" borderId="0" xfId="0" applyFill="1"/>
    <xf numFmtId="0" fontId="6" fillId="4"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8" fillId="3" borderId="3" xfId="0" applyFont="1" applyFill="1" applyBorder="1" applyAlignment="1">
      <alignment horizontal="center" vertical="center" wrapText="1" readingOrder="1"/>
    </xf>
    <xf numFmtId="0" fontId="8" fillId="3" borderId="3" xfId="0" applyFont="1" applyFill="1" applyBorder="1" applyAlignment="1">
      <alignment horizontal="left" vertical="center" wrapText="1" readingOrder="1"/>
    </xf>
    <xf numFmtId="164" fontId="8" fillId="3" borderId="3" xfId="1" applyNumberFormat="1" applyFont="1" applyFill="1" applyBorder="1" applyAlignment="1">
      <alignment horizontal="left" vertical="top" wrapText="1" readingOrder="1"/>
    </xf>
    <xf numFmtId="14" fontId="8" fillId="3" borderId="3" xfId="0" applyNumberFormat="1" applyFont="1" applyFill="1" applyBorder="1" applyAlignment="1">
      <alignment horizontal="left" vertical="center" wrapText="1" readingOrder="1"/>
    </xf>
    <xf numFmtId="0" fontId="0" fillId="0" borderId="0" xfId="0" applyAlignment="1">
      <alignment horizontal="center"/>
    </xf>
    <xf numFmtId="0" fontId="10" fillId="0" borderId="0" xfId="3"/>
    <xf numFmtId="0" fontId="12" fillId="0" borderId="0" xfId="4" applyFont="1" applyAlignment="1" applyProtection="1"/>
    <xf numFmtId="0" fontId="10" fillId="0" borderId="0" xfId="0" applyFont="1" applyAlignment="1">
      <alignment horizontal="center"/>
    </xf>
    <xf numFmtId="0" fontId="13" fillId="0" borderId="0" xfId="0" applyFont="1"/>
    <xf numFmtId="0" fontId="0" fillId="0" borderId="0" xfId="0" applyAlignment="1">
      <alignment horizontal="right" vertical="center"/>
    </xf>
    <xf numFmtId="0" fontId="0" fillId="0" borderId="0" xfId="0" applyAlignment="1">
      <alignment vertical="center"/>
    </xf>
    <xf numFmtId="0" fontId="0" fillId="6" borderId="5" xfId="0" applyFill="1" applyBorder="1" applyAlignment="1">
      <alignment vertical="center"/>
    </xf>
    <xf numFmtId="0" fontId="14" fillId="6" borderId="6" xfId="0" applyFont="1" applyFill="1" applyBorder="1" applyAlignment="1">
      <alignment horizontal="center" vertical="center"/>
    </xf>
    <xf numFmtId="165" fontId="14" fillId="6" borderId="6" xfId="0" applyNumberFormat="1" applyFont="1" applyFill="1" applyBorder="1" applyAlignment="1">
      <alignment horizontal="center" vertical="center"/>
    </xf>
    <xf numFmtId="165" fontId="15" fillId="6" borderId="6" xfId="0" applyNumberFormat="1" applyFont="1" applyFill="1" applyBorder="1" applyAlignment="1">
      <alignment horizontal="left" vertical="center"/>
    </xf>
    <xf numFmtId="9" fontId="14" fillId="6" borderId="6" xfId="2" applyFont="1" applyFill="1" applyBorder="1" applyAlignment="1">
      <alignment horizontal="center" vertical="center"/>
    </xf>
    <xf numFmtId="0" fontId="16" fillId="6" borderId="6" xfId="0" applyFont="1" applyFill="1" applyBorder="1" applyAlignment="1">
      <alignment horizontal="center" vertical="center"/>
    </xf>
    <xf numFmtId="0" fontId="16" fillId="6" borderId="6" xfId="0" applyFont="1" applyFill="1" applyBorder="1" applyAlignment="1">
      <alignment horizontal="left" vertical="center" indent="1"/>
    </xf>
    <xf numFmtId="0" fontId="10" fillId="0" borderId="0" xfId="3" applyAlignment="1">
      <alignment wrapText="1"/>
    </xf>
    <xf numFmtId="0" fontId="0" fillId="0" borderId="5" xfId="0" applyBorder="1" applyAlignment="1">
      <alignment vertical="center"/>
    </xf>
    <xf numFmtId="0" fontId="14" fillId="0" borderId="6" xfId="0" applyFont="1" applyBorder="1" applyAlignment="1">
      <alignment horizontal="center" vertical="center"/>
    </xf>
    <xf numFmtId="165" fontId="2" fillId="0" borderId="6" xfId="5">
      <alignment horizontal="center" vertical="center"/>
    </xf>
    <xf numFmtId="9" fontId="14" fillId="0" borderId="6" xfId="2" applyFont="1" applyBorder="1" applyAlignment="1">
      <alignment horizontal="center" vertical="center"/>
    </xf>
    <xf numFmtId="0" fontId="2" fillId="0" borderId="6" xfId="6">
      <alignment horizontal="center" vertical="center"/>
    </xf>
    <xf numFmtId="0" fontId="2" fillId="0" borderId="6" xfId="7">
      <alignment horizontal="left" vertical="center" indent="2"/>
    </xf>
    <xf numFmtId="165" fontId="2" fillId="7" borderId="6" xfId="5" applyFill="1">
      <alignment horizontal="center" vertical="center"/>
    </xf>
    <xf numFmtId="9" fontId="14" fillId="7" borderId="6" xfId="2" applyFont="1" applyFill="1" applyBorder="1" applyAlignment="1">
      <alignment horizontal="center" vertical="center"/>
    </xf>
    <xf numFmtId="0" fontId="2" fillId="7" borderId="6" xfId="6" applyFill="1">
      <alignment horizontal="center" vertical="center"/>
    </xf>
    <xf numFmtId="0" fontId="2" fillId="7" borderId="6" xfId="7" applyFill="1">
      <alignment horizontal="left" vertical="center" indent="2"/>
    </xf>
    <xf numFmtId="165" fontId="14" fillId="8" borderId="6" xfId="0" applyNumberFormat="1" applyFont="1" applyFill="1" applyBorder="1" applyAlignment="1">
      <alignment horizontal="center" vertical="center"/>
    </xf>
    <xf numFmtId="165" fontId="0" fillId="8" borderId="6" xfId="0" applyNumberFormat="1" applyFill="1" applyBorder="1" applyAlignment="1">
      <alignment horizontal="center" vertical="center"/>
    </xf>
    <xf numFmtId="9" fontId="14" fillId="8" borderId="6" xfId="2" applyFont="1" applyFill="1" applyBorder="1" applyAlignment="1">
      <alignment horizontal="center" vertical="center"/>
    </xf>
    <xf numFmtId="0" fontId="2" fillId="8" borderId="6" xfId="6" applyFill="1">
      <alignment horizontal="center" vertical="center"/>
    </xf>
    <xf numFmtId="0" fontId="9" fillId="8" borderId="6" xfId="0" applyFont="1" applyFill="1" applyBorder="1" applyAlignment="1">
      <alignment horizontal="left" vertical="center" indent="1"/>
    </xf>
    <xf numFmtId="165" fontId="2" fillId="9" borderId="6" xfId="5" applyFill="1">
      <alignment horizontal="center" vertical="center"/>
    </xf>
    <xf numFmtId="9" fontId="14" fillId="9" borderId="6" xfId="2" applyFont="1" applyFill="1" applyBorder="1" applyAlignment="1">
      <alignment horizontal="center" vertical="center"/>
    </xf>
    <xf numFmtId="0" fontId="2" fillId="9" borderId="6" xfId="6" applyFill="1">
      <alignment horizontal="center" vertical="center"/>
    </xf>
    <xf numFmtId="0" fontId="2" fillId="9" borderId="6" xfId="7" applyFill="1">
      <alignment horizontal="left" vertical="center" indent="2"/>
    </xf>
    <xf numFmtId="165" fontId="14" fillId="10" borderId="6" xfId="0" applyNumberFormat="1" applyFont="1" applyFill="1" applyBorder="1" applyAlignment="1">
      <alignment horizontal="center" vertical="center"/>
    </xf>
    <xf numFmtId="165" fontId="0" fillId="10" borderId="6" xfId="0" applyNumberFormat="1" applyFill="1" applyBorder="1" applyAlignment="1">
      <alignment horizontal="center" vertical="center"/>
    </xf>
    <xf numFmtId="9" fontId="14" fillId="10" borderId="6" xfId="2" applyFont="1" applyFill="1" applyBorder="1" applyAlignment="1">
      <alignment horizontal="center" vertical="center"/>
    </xf>
    <xf numFmtId="0" fontId="2" fillId="10" borderId="6" xfId="6" applyFill="1">
      <alignment horizontal="center" vertical="center"/>
    </xf>
    <xf numFmtId="0" fontId="9" fillId="10" borderId="6" xfId="0" applyFont="1" applyFill="1" applyBorder="1" applyAlignment="1">
      <alignment horizontal="left" vertical="center" indent="1"/>
    </xf>
    <xf numFmtId="165" fontId="2" fillId="11" borderId="6" xfId="5" applyFill="1">
      <alignment horizontal="center" vertical="center"/>
    </xf>
    <xf numFmtId="9" fontId="14" fillId="11" borderId="6" xfId="2" applyFont="1" applyFill="1" applyBorder="1" applyAlignment="1">
      <alignment horizontal="center" vertical="center"/>
    </xf>
    <xf numFmtId="0" fontId="2" fillId="11" borderId="6" xfId="6" applyFill="1">
      <alignment horizontal="center" vertical="center"/>
    </xf>
    <xf numFmtId="0" fontId="2" fillId="11" borderId="6" xfId="7" applyFill="1">
      <alignment horizontal="left" vertical="center" indent="2"/>
    </xf>
    <xf numFmtId="165" fontId="14" fillId="12" borderId="6" xfId="0" applyNumberFormat="1" applyFont="1" applyFill="1" applyBorder="1" applyAlignment="1">
      <alignment horizontal="center" vertical="center"/>
    </xf>
    <xf numFmtId="165" fontId="0" fillId="12" borderId="6" xfId="0" applyNumberFormat="1" applyFill="1" applyBorder="1" applyAlignment="1">
      <alignment horizontal="center" vertical="center"/>
    </xf>
    <xf numFmtId="9" fontId="14" fillId="12" borderId="6" xfId="2" applyFont="1" applyFill="1" applyBorder="1" applyAlignment="1">
      <alignment horizontal="center" vertical="center"/>
    </xf>
    <xf numFmtId="0" fontId="2" fillId="12" borderId="6" xfId="6" applyFill="1">
      <alignment horizontal="center" vertical="center"/>
    </xf>
    <xf numFmtId="0" fontId="9" fillId="12" borderId="6" xfId="0" applyFont="1" applyFill="1" applyBorder="1" applyAlignment="1">
      <alignment horizontal="left" vertical="center" indent="1"/>
    </xf>
    <xf numFmtId="0" fontId="0" fillId="0" borderId="0" xfId="0" applyAlignment="1">
      <alignment wrapText="1"/>
    </xf>
    <xf numFmtId="0" fontId="17" fillId="13" borderId="7" xfId="0" applyFont="1" applyFill="1" applyBorder="1" applyAlignment="1">
      <alignment horizontal="center" vertical="center" shrinkToFit="1"/>
    </xf>
    <xf numFmtId="0" fontId="18" fillId="14" borderId="8" xfId="0" applyFont="1" applyFill="1" applyBorder="1" applyAlignment="1">
      <alignment horizontal="center" vertical="center" wrapText="1"/>
    </xf>
    <xf numFmtId="0" fontId="18" fillId="14" borderId="8" xfId="0" applyFont="1" applyFill="1" applyBorder="1" applyAlignment="1">
      <alignment horizontal="left" vertical="center" indent="1"/>
    </xf>
    <xf numFmtId="166" fontId="19" fillId="15" borderId="9" xfId="0" applyNumberFormat="1" applyFont="1" applyFill="1" applyBorder="1" applyAlignment="1">
      <alignment horizontal="center" vertical="center"/>
    </xf>
    <xf numFmtId="166" fontId="19" fillId="15" borderId="0" xfId="0" applyNumberFormat="1" applyFont="1" applyFill="1" applyAlignment="1">
      <alignment horizontal="center" vertical="center"/>
    </xf>
    <xf numFmtId="166" fontId="19" fillId="15" borderId="10" xfId="0" applyNumberFormat="1" applyFont="1" applyFill="1" applyBorder="1" applyAlignment="1">
      <alignment horizontal="center" vertical="center"/>
    </xf>
    <xf numFmtId="0" fontId="20" fillId="0" borderId="0" xfId="10">
      <alignment vertical="top"/>
    </xf>
    <xf numFmtId="0" fontId="12" fillId="0" borderId="0" xfId="4" applyFont="1" applyProtection="1">
      <alignment vertical="top"/>
    </xf>
    <xf numFmtId="0" fontId="20" fillId="0" borderId="0" xfId="11"/>
    <xf numFmtId="0" fontId="21" fillId="0" borderId="0" xfId="0" applyFont="1"/>
    <xf numFmtId="0" fontId="21" fillId="0" borderId="0" xfId="0" applyFont="1" applyAlignment="1">
      <alignment horizontal="center" vertical="center"/>
    </xf>
    <xf numFmtId="0" fontId="21" fillId="0" borderId="0" xfId="0" applyFont="1" applyAlignment="1">
      <alignment horizontal="center"/>
    </xf>
    <xf numFmtId="0" fontId="22" fillId="0" borderId="0" xfId="0" applyFont="1" applyAlignment="1">
      <alignment horizontal="left"/>
    </xf>
    <xf numFmtId="0" fontId="23" fillId="0" borderId="0" xfId="12" applyAlignment="1">
      <alignment horizontal="left"/>
    </xf>
    <xf numFmtId="0" fontId="2" fillId="11" borderId="6" xfId="7" applyFill="1" applyAlignment="1">
      <alignment horizontal="left" vertical="center" wrapText="1" indent="2"/>
    </xf>
    <xf numFmtId="169" fontId="14" fillId="12" borderId="6" xfId="2" applyNumberFormat="1" applyFont="1" applyFill="1" applyBorder="1" applyAlignment="1">
      <alignment horizontal="center" vertical="center"/>
    </xf>
    <xf numFmtId="43" fontId="14" fillId="11" borderId="6" xfId="1" applyFont="1" applyFill="1" applyBorder="1" applyAlignment="1">
      <alignment horizontal="center" vertical="center"/>
    </xf>
    <xf numFmtId="170" fontId="14" fillId="11" borderId="6" xfId="1" applyNumberFormat="1" applyFont="1" applyFill="1" applyBorder="1" applyAlignment="1">
      <alignment horizontal="center" vertical="center"/>
    </xf>
    <xf numFmtId="165" fontId="14" fillId="11" borderId="6" xfId="2" applyNumberFormat="1" applyFont="1" applyFill="1" applyBorder="1" applyAlignment="1">
      <alignment horizontal="center" vertical="center"/>
    </xf>
    <xf numFmtId="0" fontId="24" fillId="0" borderId="0" xfId="11" applyFont="1"/>
    <xf numFmtId="0" fontId="0" fillId="9" borderId="6" xfId="7" applyFont="1" applyFill="1">
      <alignment horizontal="left" vertical="center" indent="2"/>
    </xf>
    <xf numFmtId="14" fontId="14" fillId="12" borderId="6" xfId="2" applyNumberFormat="1" applyFont="1" applyFill="1" applyBorder="1" applyAlignment="1">
      <alignment horizontal="center" vertical="center"/>
    </xf>
    <xf numFmtId="164" fontId="2" fillId="12" borderId="6" xfId="6" applyNumberFormat="1" applyFill="1">
      <alignment horizontal="center" vertical="center"/>
    </xf>
    <xf numFmtId="170" fontId="2" fillId="12" borderId="6" xfId="6" applyNumberFormat="1" applyFill="1">
      <alignment horizontal="center" vertical="center"/>
    </xf>
    <xf numFmtId="0" fontId="4" fillId="3" borderId="2" xfId="0" applyFont="1" applyFill="1" applyBorder="1" applyAlignment="1">
      <alignment horizontal="center" vertical="center" wrapText="1" readingOrder="1"/>
    </xf>
    <xf numFmtId="0" fontId="4" fillId="4" borderId="4" xfId="0" applyFont="1" applyFill="1" applyBorder="1" applyAlignment="1">
      <alignment horizontal="center" vertical="center" wrapText="1" readingOrder="1"/>
    </xf>
    <xf numFmtId="0" fontId="4" fillId="3" borderId="3" xfId="0" applyFont="1" applyFill="1" applyBorder="1" applyAlignment="1">
      <alignment horizontal="center" vertical="center" wrapText="1" readingOrder="1"/>
    </xf>
    <xf numFmtId="0" fontId="4" fillId="3" borderId="4" xfId="0" applyFont="1" applyFill="1" applyBorder="1" applyAlignment="1">
      <alignment vertical="center" wrapText="1" readingOrder="1"/>
    </xf>
    <xf numFmtId="0" fontId="4" fillId="3" borderId="4" xfId="0" applyFont="1" applyFill="1" applyBorder="1" applyAlignment="1">
      <alignment horizontal="center" vertical="center" wrapText="1" readingOrder="1"/>
    </xf>
    <xf numFmtId="0" fontId="4" fillId="4" borderId="3" xfId="0" applyFont="1" applyFill="1" applyBorder="1" applyAlignment="1">
      <alignment horizontal="left" vertical="center" wrapText="1" indent="1" readingOrder="1"/>
    </xf>
    <xf numFmtId="0" fontId="4" fillId="4" borderId="3" xfId="0" applyFont="1" applyFill="1" applyBorder="1" applyAlignment="1">
      <alignment horizontal="center" vertical="center" wrapText="1" readingOrder="1"/>
    </xf>
    <xf numFmtId="9" fontId="2" fillId="11" borderId="6" xfId="2" applyFill="1" applyBorder="1" applyAlignment="1">
      <alignment horizontal="center" vertical="center"/>
    </xf>
    <xf numFmtId="9" fontId="2" fillId="11" borderId="6" xfId="2" applyFill="1" applyBorder="1" applyAlignment="1">
      <alignment horizontal="center" vertical="center" wrapText="1"/>
    </xf>
    <xf numFmtId="0" fontId="2" fillId="16" borderId="6" xfId="7" applyFill="1">
      <alignment horizontal="left" vertical="center" indent="2"/>
    </xf>
    <xf numFmtId="9" fontId="2" fillId="16" borderId="6" xfId="2" applyFill="1" applyBorder="1" applyAlignment="1">
      <alignment horizontal="center" vertical="center"/>
    </xf>
    <xf numFmtId="43" fontId="14" fillId="9" borderId="6" xfId="1" applyFont="1" applyFill="1" applyBorder="1" applyAlignment="1">
      <alignment horizontal="center" vertical="center"/>
    </xf>
    <xf numFmtId="165" fontId="14" fillId="9" borderId="6" xfId="2" applyNumberFormat="1" applyFont="1" applyFill="1" applyBorder="1" applyAlignment="1">
      <alignment horizontal="center" vertical="center"/>
    </xf>
    <xf numFmtId="1" fontId="14" fillId="9" borderId="6" xfId="2" applyNumberFormat="1" applyFont="1" applyFill="1" applyBorder="1" applyAlignment="1">
      <alignment horizontal="center" vertical="center"/>
    </xf>
    <xf numFmtId="1" fontId="14" fillId="9" borderId="6" xfId="1" applyNumberFormat="1" applyFont="1" applyFill="1" applyBorder="1" applyAlignment="1">
      <alignment horizontal="center" vertical="center"/>
    </xf>
    <xf numFmtId="1" fontId="14" fillId="10" borderId="6" xfId="2" applyNumberFormat="1" applyFont="1" applyFill="1" applyBorder="1" applyAlignment="1">
      <alignment horizontal="center" vertical="center"/>
    </xf>
    <xf numFmtId="43" fontId="14" fillId="10" borderId="6" xfId="2" applyNumberFormat="1" applyFont="1" applyFill="1" applyBorder="1" applyAlignment="1">
      <alignment horizontal="center" vertical="center"/>
    </xf>
    <xf numFmtId="14" fontId="14" fillId="10" borderId="6" xfId="2" applyNumberFormat="1" applyFont="1" applyFill="1" applyBorder="1" applyAlignment="1">
      <alignment horizontal="center" vertical="center"/>
    </xf>
    <xf numFmtId="1" fontId="0" fillId="0" borderId="0" xfId="0" applyNumberFormat="1"/>
    <xf numFmtId="9" fontId="0" fillId="11" borderId="6" xfId="2" applyFont="1" applyFill="1" applyBorder="1" applyAlignment="1">
      <alignment horizontal="center" vertical="center"/>
    </xf>
    <xf numFmtId="0" fontId="2" fillId="0" borderId="9" xfId="8" applyBorder="1">
      <alignment horizontal="right" indent="1"/>
    </xf>
    <xf numFmtId="164" fontId="28" fillId="0" borderId="15" xfId="1" applyNumberFormat="1" applyFont="1" applyFill="1" applyBorder="1" applyAlignment="1">
      <alignment horizontal="center" vertical="center"/>
    </xf>
    <xf numFmtId="170" fontId="28" fillId="0" borderId="15" xfId="1" applyNumberFormat="1" applyFont="1" applyFill="1" applyBorder="1" applyAlignment="1">
      <alignment horizontal="center" vertical="center"/>
    </xf>
    <xf numFmtId="170" fontId="28" fillId="0" borderId="0" xfId="1" applyNumberFormat="1" applyFont="1" applyFill="1" applyBorder="1" applyAlignment="1">
      <alignment horizontal="center" vertical="center"/>
    </xf>
    <xf numFmtId="0" fontId="28" fillId="0" borderId="0" xfId="0" applyFont="1" applyAlignment="1">
      <alignment horizontal="left" vertical="center"/>
    </xf>
    <xf numFmtId="0" fontId="27" fillId="0" borderId="0" xfId="0" applyFont="1" applyAlignment="1">
      <alignment horizontal="center" vertical="center"/>
    </xf>
    <xf numFmtId="0" fontId="28" fillId="0" borderId="15" xfId="13" applyFont="1" applyBorder="1" applyAlignment="1">
      <alignment horizontal="center" vertical="center"/>
    </xf>
    <xf numFmtId="0" fontId="28" fillId="0" borderId="15" xfId="0" applyFont="1" applyBorder="1" applyAlignment="1">
      <alignment horizontal="center" vertical="center"/>
    </xf>
    <xf numFmtId="0" fontId="28" fillId="0" borderId="0" xfId="0" applyFont="1" applyAlignment="1">
      <alignment horizontal="center" vertical="center"/>
    </xf>
    <xf numFmtId="164" fontId="28" fillId="0" borderId="0" xfId="1" applyNumberFormat="1" applyFont="1" applyFill="1" applyBorder="1" applyAlignment="1">
      <alignment horizontal="center" vertical="center"/>
    </xf>
    <xf numFmtId="0" fontId="27" fillId="0" borderId="0" xfId="13" applyFont="1" applyAlignment="1">
      <alignment horizontal="center" vertical="center"/>
    </xf>
    <xf numFmtId="0" fontId="28" fillId="0" borderId="0" xfId="13" applyFont="1" applyAlignment="1">
      <alignment horizontal="center" vertical="center"/>
    </xf>
    <xf numFmtId="164" fontId="27" fillId="0" borderId="0" xfId="1" applyNumberFormat="1" applyFont="1" applyFill="1" applyBorder="1" applyAlignment="1">
      <alignment horizontal="center" vertical="center"/>
    </xf>
    <xf numFmtId="0" fontId="29" fillId="0" borderId="0" xfId="0" applyFont="1" applyAlignment="1">
      <alignment horizontal="left" vertical="center"/>
    </xf>
    <xf numFmtId="0" fontId="30" fillId="0" borderId="0" xfId="0" applyFont="1" applyAlignment="1">
      <alignment horizontal="left" vertical="center"/>
    </xf>
    <xf numFmtId="0" fontId="29" fillId="0" borderId="0" xfId="0" applyFont="1" applyAlignment="1">
      <alignment vertical="center"/>
    </xf>
    <xf numFmtId="0" fontId="26" fillId="0" borderId="0" xfId="0" applyFont="1" applyAlignment="1">
      <alignment horizontal="left" vertical="center"/>
    </xf>
    <xf numFmtId="0" fontId="28" fillId="0" borderId="24" xfId="13" applyFont="1" applyBorder="1" applyAlignment="1">
      <alignment horizontal="center" vertical="center"/>
    </xf>
    <xf numFmtId="0" fontId="28" fillId="0" borderId="25" xfId="13" applyFont="1" applyBorder="1" applyAlignment="1">
      <alignment horizontal="center" vertical="center"/>
    </xf>
    <xf numFmtId="0" fontId="28" fillId="0" borderId="26" xfId="13" applyFont="1" applyBorder="1" applyAlignment="1">
      <alignment horizontal="center" vertical="center"/>
    </xf>
    <xf numFmtId="0" fontId="28" fillId="0" borderId="27" xfId="0" applyFont="1" applyBorder="1" applyAlignment="1">
      <alignment horizontal="center" vertical="center"/>
    </xf>
    <xf numFmtId="0" fontId="35" fillId="17" borderId="15" xfId="0" applyFont="1" applyFill="1" applyBorder="1" applyAlignment="1">
      <alignment horizontal="center" vertical="center"/>
    </xf>
    <xf numFmtId="164" fontId="35" fillId="17" borderId="15" xfId="1" applyNumberFormat="1" applyFont="1" applyFill="1" applyBorder="1" applyAlignment="1">
      <alignment horizontal="center" vertical="center"/>
    </xf>
    <xf numFmtId="0" fontId="28" fillId="15" borderId="15" xfId="13" applyFont="1" applyFill="1" applyBorder="1" applyAlignment="1">
      <alignment horizontal="center" vertical="center"/>
    </xf>
    <xf numFmtId="164" fontId="28" fillId="15" borderId="15" xfId="1" applyNumberFormat="1" applyFont="1" applyFill="1" applyBorder="1" applyAlignment="1">
      <alignment horizontal="center" vertical="center"/>
    </xf>
    <xf numFmtId="170" fontId="28" fillId="15" borderId="15" xfId="1" applyNumberFormat="1" applyFont="1" applyFill="1" applyBorder="1" applyAlignment="1">
      <alignment horizontal="center" vertical="center"/>
    </xf>
    <xf numFmtId="0" fontId="28" fillId="15" borderId="15" xfId="0" applyFont="1" applyFill="1" applyBorder="1" applyAlignment="1">
      <alignment horizontal="center" vertical="center"/>
    </xf>
    <xf numFmtId="0" fontId="28" fillId="15" borderId="26" xfId="13" applyFont="1" applyFill="1" applyBorder="1" applyAlignment="1">
      <alignment horizontal="center" vertical="center"/>
    </xf>
    <xf numFmtId="0" fontId="28" fillId="15" borderId="27" xfId="0" applyFont="1" applyFill="1" applyBorder="1" applyAlignment="1">
      <alignment horizontal="center" vertical="center"/>
    </xf>
    <xf numFmtId="0" fontId="28" fillId="15" borderId="24" xfId="13" applyFont="1" applyFill="1" applyBorder="1" applyAlignment="1">
      <alignment horizontal="center" vertical="center"/>
    </xf>
    <xf numFmtId="0" fontId="28" fillId="15" borderId="0" xfId="0" applyFont="1" applyFill="1" applyAlignment="1">
      <alignment horizontal="center" vertical="center"/>
    </xf>
    <xf numFmtId="0" fontId="28" fillId="5" borderId="0" xfId="0" applyFont="1" applyFill="1" applyAlignment="1">
      <alignment horizontal="center" vertical="center"/>
    </xf>
    <xf numFmtId="0" fontId="28" fillId="0" borderId="25" xfId="0" applyFont="1" applyBorder="1" applyAlignment="1">
      <alignment horizontal="center" vertical="center"/>
    </xf>
    <xf numFmtId="0" fontId="28" fillId="0" borderId="26" xfId="0" applyFont="1" applyBorder="1" applyAlignment="1">
      <alignment horizontal="center" vertical="center"/>
    </xf>
    <xf numFmtId="0" fontId="28" fillId="15" borderId="26" xfId="0" applyFont="1" applyFill="1" applyBorder="1" applyAlignment="1">
      <alignment horizontal="center" vertical="center"/>
    </xf>
    <xf numFmtId="0" fontId="28" fillId="15" borderId="27" xfId="13" applyFont="1" applyFill="1" applyBorder="1" applyAlignment="1">
      <alignment horizontal="center" vertical="center"/>
    </xf>
    <xf numFmtId="0" fontId="28" fillId="15" borderId="24" xfId="0" applyFont="1" applyFill="1" applyBorder="1" applyAlignment="1">
      <alignment horizontal="center" vertical="center"/>
    </xf>
    <xf numFmtId="0" fontId="28" fillId="5" borderId="26" xfId="0" applyFont="1" applyFill="1" applyBorder="1" applyAlignment="1">
      <alignment horizontal="center" vertical="center"/>
    </xf>
    <xf numFmtId="0" fontId="28" fillId="5" borderId="15" xfId="0" applyFont="1" applyFill="1" applyBorder="1" applyAlignment="1">
      <alignment horizontal="center" vertical="center"/>
    </xf>
    <xf numFmtId="0" fontId="28" fillId="15" borderId="15" xfId="13" applyFont="1" applyFill="1" applyBorder="1" applyAlignment="1">
      <alignment horizontal="center" vertical="center" wrapText="1"/>
    </xf>
    <xf numFmtId="0" fontId="28" fillId="0" borderId="15" xfId="13" applyFont="1" applyBorder="1" applyAlignment="1">
      <alignment horizontal="center" vertical="center" wrapText="1"/>
    </xf>
    <xf numFmtId="0" fontId="28" fillId="0" borderId="25" xfId="13" applyFont="1" applyBorder="1" applyAlignment="1">
      <alignment horizontal="center" vertical="center" wrapText="1"/>
    </xf>
    <xf numFmtId="164" fontId="28" fillId="0" borderId="25" xfId="1" applyNumberFormat="1" applyFont="1" applyFill="1" applyBorder="1" applyAlignment="1">
      <alignment horizontal="center" vertical="center"/>
    </xf>
    <xf numFmtId="170" fontId="28" fillId="0" borderId="25" xfId="1" applyNumberFormat="1" applyFont="1" applyFill="1" applyBorder="1" applyAlignment="1">
      <alignment horizontal="center" vertical="center"/>
    </xf>
    <xf numFmtId="0" fontId="28" fillId="5" borderId="15" xfId="13" applyFont="1" applyFill="1" applyBorder="1" applyAlignment="1">
      <alignment horizontal="center" vertical="center"/>
    </xf>
    <xf numFmtId="164" fontId="28" fillId="5" borderId="15" xfId="1" applyNumberFormat="1" applyFont="1" applyFill="1" applyBorder="1" applyAlignment="1">
      <alignment horizontal="center" vertical="center"/>
    </xf>
    <xf numFmtId="170" fontId="28" fillId="5" borderId="15" xfId="1" applyNumberFormat="1" applyFont="1" applyFill="1" applyBorder="1" applyAlignment="1">
      <alignment horizontal="center" vertical="center"/>
    </xf>
    <xf numFmtId="0" fontId="28" fillId="5" borderId="15" xfId="13" applyFont="1" applyFill="1" applyBorder="1" applyAlignment="1">
      <alignment horizontal="center" vertical="center" wrapText="1"/>
    </xf>
    <xf numFmtId="0" fontId="35" fillId="17" borderId="24" xfId="0" applyFont="1" applyFill="1" applyBorder="1" applyAlignment="1">
      <alignment horizontal="center" vertical="center"/>
    </xf>
    <xf numFmtId="0" fontId="36" fillId="0" borderId="26" xfId="0" applyFont="1" applyBorder="1" applyAlignment="1">
      <alignment horizontal="center" vertical="center"/>
    </xf>
    <xf numFmtId="0" fontId="28" fillId="0" borderId="28" xfId="0" applyFont="1" applyBorder="1" applyAlignment="1">
      <alignment horizontal="center" vertical="center"/>
    </xf>
    <xf numFmtId="0" fontId="28" fillId="15" borderId="29" xfId="0" applyFont="1" applyFill="1" applyBorder="1" applyAlignment="1">
      <alignment horizontal="center" vertical="center"/>
    </xf>
    <xf numFmtId="0" fontId="28" fillId="5" borderId="28" xfId="0" applyFont="1" applyFill="1" applyBorder="1" applyAlignment="1">
      <alignment horizontal="center" vertical="center"/>
    </xf>
    <xf numFmtId="0" fontId="28" fillId="15" borderId="30" xfId="0" applyFont="1" applyFill="1" applyBorder="1" applyAlignment="1">
      <alignment horizontal="center" vertical="center"/>
    </xf>
    <xf numFmtId="0" fontId="28" fillId="0" borderId="30" xfId="0" applyFont="1" applyBorder="1" applyAlignment="1">
      <alignment horizontal="center" vertical="center"/>
    </xf>
    <xf numFmtId="0" fontId="35" fillId="17" borderId="25" xfId="0" applyFont="1" applyFill="1" applyBorder="1" applyAlignment="1">
      <alignment horizontal="center" vertical="center"/>
    </xf>
    <xf numFmtId="0" fontId="28" fillId="15" borderId="31" xfId="0" applyFont="1" applyFill="1" applyBorder="1" applyAlignment="1">
      <alignment horizontal="center" vertical="center"/>
    </xf>
    <xf numFmtId="0" fontId="28" fillId="5" borderId="24" xfId="13" applyFont="1" applyFill="1" applyBorder="1" applyAlignment="1">
      <alignment horizontal="center" vertical="center" wrapText="1"/>
    </xf>
    <xf numFmtId="164" fontId="28" fillId="5" borderId="24" xfId="1" applyNumberFormat="1" applyFont="1" applyFill="1" applyBorder="1" applyAlignment="1">
      <alignment horizontal="center" vertical="center"/>
    </xf>
    <xf numFmtId="0" fontId="28" fillId="15" borderId="26" xfId="13" applyFont="1" applyFill="1" applyBorder="1" applyAlignment="1">
      <alignment horizontal="center" vertical="center" wrapText="1"/>
    </xf>
    <xf numFmtId="164" fontId="28" fillId="15" borderId="26" xfId="1" applyNumberFormat="1" applyFont="1" applyFill="1" applyBorder="1" applyAlignment="1">
      <alignment horizontal="center" vertical="center"/>
    </xf>
    <xf numFmtId="164" fontId="28" fillId="5" borderId="26" xfId="1" applyNumberFormat="1" applyFont="1" applyFill="1" applyBorder="1" applyAlignment="1">
      <alignment horizontal="center" vertical="center"/>
    </xf>
    <xf numFmtId="164" fontId="28" fillId="15" borderId="24" xfId="1" applyNumberFormat="1" applyFont="1" applyFill="1" applyBorder="1" applyAlignment="1">
      <alignment horizontal="center" vertical="center"/>
    </xf>
    <xf numFmtId="0" fontId="28" fillId="15" borderId="25" xfId="13" applyFont="1" applyFill="1" applyBorder="1" applyAlignment="1">
      <alignment horizontal="center" vertical="center" wrapText="1"/>
    </xf>
    <xf numFmtId="170" fontId="28" fillId="5" borderId="26" xfId="1" applyNumberFormat="1" applyFont="1" applyFill="1" applyBorder="1" applyAlignment="1">
      <alignment horizontal="center" vertical="center"/>
    </xf>
    <xf numFmtId="170" fontId="28" fillId="15" borderId="24" xfId="1" applyNumberFormat="1" applyFont="1" applyFill="1" applyBorder="1" applyAlignment="1">
      <alignment horizontal="center" vertical="center"/>
    </xf>
    <xf numFmtId="164" fontId="28" fillId="15" borderId="25" xfId="1" applyNumberFormat="1" applyFont="1" applyFill="1" applyBorder="1" applyAlignment="1">
      <alignment horizontal="center" vertical="center"/>
    </xf>
    <xf numFmtId="170" fontId="28" fillId="15" borderId="25" xfId="1" applyNumberFormat="1" applyFont="1" applyFill="1" applyBorder="1" applyAlignment="1">
      <alignment horizontal="center" vertical="center"/>
    </xf>
    <xf numFmtId="0" fontId="37" fillId="0" borderId="0" xfId="0" applyFont="1"/>
    <xf numFmtId="0" fontId="28" fillId="15" borderId="15" xfId="0" applyFont="1" applyFill="1" applyBorder="1" applyAlignment="1">
      <alignment horizontal="center" vertical="center" wrapText="1"/>
    </xf>
    <xf numFmtId="0" fontId="36" fillId="0" borderId="0" xfId="0" applyFont="1"/>
    <xf numFmtId="0" fontId="36" fillId="15" borderId="0" xfId="0" applyFont="1" applyFill="1" applyAlignment="1">
      <alignment horizontal="center"/>
    </xf>
    <xf numFmtId="0" fontId="36" fillId="0" borderId="0" xfId="0" applyFont="1" applyAlignment="1">
      <alignment horizontal="center"/>
    </xf>
    <xf numFmtId="0" fontId="36" fillId="0" borderId="26" xfId="0" applyFont="1" applyBorder="1" applyAlignment="1">
      <alignment horizontal="center"/>
    </xf>
    <xf numFmtId="0" fontId="36" fillId="15" borderId="31" xfId="0" applyFont="1" applyFill="1" applyBorder="1" applyAlignment="1">
      <alignment horizontal="center"/>
    </xf>
    <xf numFmtId="0" fontId="36" fillId="18" borderId="15" xfId="0" applyFont="1" applyFill="1" applyBorder="1"/>
    <xf numFmtId="0" fontId="36" fillId="0" borderId="15" xfId="0" applyFont="1" applyBorder="1"/>
    <xf numFmtId="0" fontId="36" fillId="18" borderId="15" xfId="0" applyFont="1" applyFill="1" applyBorder="1" applyAlignment="1">
      <alignment horizontal="center" vertical="center"/>
    </xf>
    <xf numFmtId="0" fontId="36" fillId="0" borderId="15" xfId="0" applyFont="1" applyBorder="1" applyAlignment="1">
      <alignment horizontal="center" vertical="center"/>
    </xf>
    <xf numFmtId="171" fontId="35" fillId="17" borderId="15" xfId="1" applyNumberFormat="1" applyFont="1" applyFill="1" applyBorder="1" applyAlignment="1">
      <alignment horizontal="center" vertical="center"/>
    </xf>
    <xf numFmtId="171" fontId="28" fillId="0" borderId="15" xfId="1" applyNumberFormat="1" applyFont="1" applyFill="1" applyBorder="1" applyAlignment="1">
      <alignment horizontal="center" vertical="center"/>
    </xf>
    <xf numFmtId="171" fontId="28" fillId="15" borderId="15" xfId="1" applyNumberFormat="1" applyFont="1" applyFill="1" applyBorder="1" applyAlignment="1">
      <alignment horizontal="center" vertical="center"/>
    </xf>
    <xf numFmtId="171" fontId="28" fillId="0" borderId="0" xfId="1" applyNumberFormat="1" applyFont="1" applyFill="1" applyBorder="1" applyAlignment="1">
      <alignment horizontal="center" vertical="center"/>
    </xf>
    <xf numFmtId="171" fontId="28" fillId="0" borderId="0" xfId="0" applyNumberFormat="1" applyFont="1" applyAlignment="1">
      <alignment horizontal="center" vertical="center"/>
    </xf>
    <xf numFmtId="171" fontId="27" fillId="0" borderId="0" xfId="13" applyNumberFormat="1" applyFont="1" applyAlignment="1">
      <alignment horizontal="center" vertical="center"/>
    </xf>
    <xf numFmtId="171" fontId="28" fillId="0" borderId="0" xfId="13" applyNumberFormat="1" applyFont="1" applyAlignment="1">
      <alignment horizontal="center" vertical="center"/>
    </xf>
    <xf numFmtId="172" fontId="35" fillId="17" borderId="15" xfId="0" applyNumberFormat="1" applyFont="1" applyFill="1" applyBorder="1" applyAlignment="1">
      <alignment horizontal="center" vertical="center"/>
    </xf>
    <xf numFmtId="172" fontId="28" fillId="0" borderId="15" xfId="13" applyNumberFormat="1" applyFont="1" applyBorder="1" applyAlignment="1">
      <alignment horizontal="center" vertical="center"/>
    </xf>
    <xf numFmtId="172" fontId="28" fillId="15" borderId="15" xfId="13" applyNumberFormat="1" applyFont="1" applyFill="1" applyBorder="1" applyAlignment="1">
      <alignment horizontal="center" vertical="center"/>
    </xf>
    <xf numFmtId="172" fontId="28" fillId="0" borderId="0" xfId="1" applyNumberFormat="1" applyFont="1" applyFill="1" applyBorder="1" applyAlignment="1">
      <alignment horizontal="center" vertical="center"/>
    </xf>
    <xf numFmtId="172" fontId="28" fillId="0" borderId="0" xfId="0" applyNumberFormat="1" applyFont="1" applyAlignment="1">
      <alignment horizontal="center" vertical="center"/>
    </xf>
    <xf numFmtId="172" fontId="27" fillId="0" borderId="0" xfId="13" applyNumberFormat="1" applyFont="1" applyAlignment="1">
      <alignment horizontal="center" vertical="center"/>
    </xf>
    <xf numFmtId="172" fontId="28" fillId="0" borderId="0" xfId="13" applyNumberFormat="1" applyFont="1" applyAlignment="1">
      <alignment horizontal="center" vertical="center"/>
    </xf>
    <xf numFmtId="171" fontId="28" fillId="5" borderId="15" xfId="0" applyNumberFormat="1" applyFont="1" applyFill="1" applyBorder="1" applyAlignment="1">
      <alignment horizontal="center" vertical="center"/>
    </xf>
    <xf numFmtId="171" fontId="28" fillId="5" borderId="15" xfId="1" applyNumberFormat="1" applyFont="1" applyFill="1" applyBorder="1" applyAlignment="1">
      <alignment horizontal="center" vertical="center"/>
    </xf>
    <xf numFmtId="171" fontId="28" fillId="0" borderId="25" xfId="1" applyNumberFormat="1" applyFont="1" applyFill="1" applyBorder="1" applyAlignment="1">
      <alignment horizontal="center" vertical="center"/>
    </xf>
    <xf numFmtId="171" fontId="28" fillId="15" borderId="24" xfId="1" applyNumberFormat="1" applyFont="1" applyFill="1" applyBorder="1" applyAlignment="1">
      <alignment horizontal="center" vertical="center"/>
    </xf>
    <xf numFmtId="171" fontId="28" fillId="5" borderId="26" xfId="1" applyNumberFormat="1" applyFont="1" applyFill="1" applyBorder="1" applyAlignment="1">
      <alignment horizontal="center" vertical="center"/>
    </xf>
    <xf numFmtId="171" fontId="28" fillId="15" borderId="25" xfId="1" applyNumberFormat="1" applyFont="1" applyFill="1" applyBorder="1" applyAlignment="1">
      <alignment horizontal="center" vertical="center"/>
    </xf>
    <xf numFmtId="172" fontId="28" fillId="0" borderId="27" xfId="13" applyNumberFormat="1" applyFont="1" applyBorder="1" applyAlignment="1">
      <alignment horizontal="center" vertical="center"/>
    </xf>
    <xf numFmtId="172" fontId="28" fillId="15" borderId="27" xfId="13" applyNumberFormat="1" applyFont="1" applyFill="1" applyBorder="1" applyAlignment="1">
      <alignment horizontal="center" vertical="center"/>
    </xf>
    <xf numFmtId="172" fontId="28" fillId="5" borderId="27" xfId="0" applyNumberFormat="1" applyFont="1" applyFill="1" applyBorder="1" applyAlignment="1">
      <alignment horizontal="center" vertical="center"/>
    </xf>
    <xf numFmtId="172" fontId="28" fillId="0" borderId="25" xfId="13" applyNumberFormat="1" applyFont="1" applyBorder="1" applyAlignment="1">
      <alignment horizontal="center" vertical="center"/>
    </xf>
    <xf numFmtId="172" fontId="28" fillId="0" borderId="15" xfId="0" applyNumberFormat="1" applyFont="1" applyBorder="1" applyAlignment="1">
      <alignment horizontal="center" vertical="center"/>
    </xf>
    <xf numFmtId="172" fontId="28" fillId="15" borderId="24" xfId="0" applyNumberFormat="1" applyFont="1" applyFill="1" applyBorder="1" applyAlignment="1">
      <alignment horizontal="center" vertical="center"/>
    </xf>
    <xf numFmtId="172" fontId="28" fillId="5" borderId="26" xfId="0" applyNumberFormat="1" applyFont="1" applyFill="1" applyBorder="1" applyAlignment="1">
      <alignment horizontal="center" vertical="center"/>
    </xf>
    <xf numFmtId="172" fontId="28" fillId="15" borderId="30" xfId="0" applyNumberFormat="1" applyFont="1" applyFill="1" applyBorder="1" applyAlignment="1">
      <alignment horizontal="center" vertical="center"/>
    </xf>
    <xf numFmtId="172" fontId="28" fillId="5" borderId="15" xfId="13" applyNumberFormat="1" applyFont="1" applyFill="1" applyBorder="1" applyAlignment="1">
      <alignment horizontal="center" vertical="center"/>
    </xf>
    <xf numFmtId="171" fontId="28" fillId="0" borderId="15" xfId="13" applyNumberFormat="1" applyFont="1" applyBorder="1" applyAlignment="1">
      <alignment horizontal="center" vertical="center" wrapText="1"/>
    </xf>
    <xf numFmtId="171" fontId="28" fillId="15" borderId="15" xfId="13" applyNumberFormat="1" applyFont="1" applyFill="1" applyBorder="1" applyAlignment="1">
      <alignment horizontal="center" vertical="center" wrapText="1"/>
    </xf>
    <xf numFmtId="171" fontId="28" fillId="5" borderId="15" xfId="13" applyNumberFormat="1" applyFont="1" applyFill="1" applyBorder="1" applyAlignment="1">
      <alignment horizontal="center" vertical="center" wrapText="1"/>
    </xf>
    <xf numFmtId="171" fontId="28" fillId="15" borderId="32" xfId="13" applyNumberFormat="1" applyFont="1" applyFill="1" applyBorder="1" applyAlignment="1">
      <alignment horizontal="center" vertical="center" wrapText="1"/>
    </xf>
    <xf numFmtId="172" fontId="28" fillId="0" borderId="15" xfId="13" applyNumberFormat="1" applyFont="1" applyBorder="1" applyAlignment="1">
      <alignment horizontal="center" vertical="center" wrapText="1"/>
    </xf>
    <xf numFmtId="172" fontId="28" fillId="15" borderId="15" xfId="13" applyNumberFormat="1" applyFont="1" applyFill="1" applyBorder="1" applyAlignment="1">
      <alignment horizontal="center" vertical="center" wrapText="1"/>
    </xf>
    <xf numFmtId="172" fontId="28" fillId="5" borderId="15" xfId="13" applyNumberFormat="1" applyFont="1" applyFill="1" applyBorder="1" applyAlignment="1">
      <alignment horizontal="center" vertical="center" wrapText="1"/>
    </xf>
    <xf numFmtId="0" fontId="38" fillId="0" borderId="26" xfId="0" applyFont="1" applyBorder="1" applyAlignment="1">
      <alignment horizontal="center"/>
    </xf>
    <xf numFmtId="173" fontId="35" fillId="17" borderId="15" xfId="14" applyNumberFormat="1" applyFont="1" applyFill="1" applyBorder="1" applyAlignment="1">
      <alignment horizontal="center" vertical="center"/>
    </xf>
    <xf numFmtId="173" fontId="28" fillId="15" borderId="15" xfId="14" applyNumberFormat="1" applyFont="1" applyFill="1" applyBorder="1" applyAlignment="1">
      <alignment horizontal="center" vertical="center"/>
    </xf>
    <xf numFmtId="173" fontId="28" fillId="0" borderId="0" xfId="14" applyNumberFormat="1" applyFont="1" applyAlignment="1">
      <alignment horizontal="center" vertical="center"/>
    </xf>
    <xf numFmtId="174" fontId="35" fillId="17" borderId="15" xfId="14" applyNumberFormat="1" applyFont="1" applyFill="1" applyBorder="1" applyAlignment="1">
      <alignment horizontal="center" vertical="center"/>
    </xf>
    <xf numFmtId="174" fontId="28" fillId="0" borderId="15" xfId="14" applyNumberFormat="1" applyFont="1" applyBorder="1" applyAlignment="1">
      <alignment horizontal="center" vertical="center"/>
    </xf>
    <xf numFmtId="174" fontId="28" fillId="15" borderId="15" xfId="14" applyNumberFormat="1" applyFont="1" applyFill="1" applyBorder="1" applyAlignment="1">
      <alignment horizontal="center" vertical="center"/>
    </xf>
    <xf numFmtId="174" fontId="28" fillId="0" borderId="0" xfId="14" applyNumberFormat="1" applyFont="1" applyAlignment="1">
      <alignment horizontal="center" vertical="center"/>
    </xf>
    <xf numFmtId="174" fontId="29" fillId="0" borderId="0" xfId="14" applyNumberFormat="1" applyFont="1" applyAlignment="1">
      <alignment horizontal="center" vertical="center"/>
    </xf>
    <xf numFmtId="173" fontId="28" fillId="0" borderId="15" xfId="14" applyNumberFormat="1" applyFont="1" applyFill="1" applyBorder="1" applyAlignment="1">
      <alignment horizontal="center" vertical="center"/>
    </xf>
    <xf numFmtId="173" fontId="29" fillId="0" borderId="0" xfId="14" applyNumberFormat="1" applyFont="1" applyAlignment="1">
      <alignment horizontal="center"/>
    </xf>
    <xf numFmtId="173" fontId="35" fillId="17" borderId="15" xfId="14" applyNumberFormat="1" applyFont="1" applyFill="1" applyBorder="1" applyAlignment="1">
      <alignment horizontal="center"/>
    </xf>
    <xf numFmtId="173" fontId="28" fillId="0" borderId="15" xfId="14" applyNumberFormat="1" applyFont="1" applyFill="1" applyBorder="1" applyAlignment="1">
      <alignment horizontal="center"/>
    </xf>
    <xf numFmtId="173" fontId="28" fillId="15" borderId="15" xfId="14" applyNumberFormat="1" applyFont="1" applyFill="1" applyBorder="1" applyAlignment="1">
      <alignment horizontal="center"/>
    </xf>
    <xf numFmtId="173" fontId="28" fillId="0" borderId="0" xfId="14" applyNumberFormat="1" applyFont="1" applyFill="1" applyBorder="1" applyAlignment="1">
      <alignment horizontal="center"/>
    </xf>
    <xf numFmtId="173" fontId="27" fillId="0" borderId="0" xfId="14" applyNumberFormat="1" applyFont="1" applyAlignment="1">
      <alignment horizontal="center" vertical="center"/>
    </xf>
    <xf numFmtId="174" fontId="27" fillId="0" borderId="0" xfId="14" applyNumberFormat="1" applyFont="1" applyAlignment="1">
      <alignment horizontal="center" vertical="center"/>
    </xf>
    <xf numFmtId="173" fontId="28" fillId="5" borderId="15" xfId="14" applyNumberFormat="1" applyFont="1" applyFill="1" applyBorder="1" applyAlignment="1">
      <alignment horizontal="center" vertical="center"/>
    </xf>
    <xf numFmtId="174" fontId="28" fillId="5" borderId="15" xfId="14" applyNumberFormat="1" applyFont="1" applyFill="1" applyBorder="1" applyAlignment="1">
      <alignment horizontal="center" vertical="center"/>
    </xf>
    <xf numFmtId="0" fontId="18" fillId="17" borderId="15" xfId="0" applyFont="1" applyFill="1" applyBorder="1" applyAlignment="1">
      <alignment horizontal="center" vertical="center"/>
    </xf>
    <xf numFmtId="0" fontId="29" fillId="0" borderId="0" xfId="0" applyFont="1" applyAlignment="1">
      <alignment horizontal="left" vertical="center"/>
    </xf>
    <xf numFmtId="0" fontId="26" fillId="0" borderId="0" xfId="0" applyFont="1" applyAlignment="1">
      <alignment horizontal="left" vertical="center"/>
    </xf>
    <xf numFmtId="0" fontId="32" fillId="0" borderId="19" xfId="0" applyFont="1" applyBorder="1" applyAlignment="1">
      <alignment horizontal="left" vertical="center" indent="1"/>
    </xf>
    <xf numFmtId="0" fontId="31" fillId="0" borderId="0" xfId="0" applyFont="1" applyAlignment="1">
      <alignment horizontal="left" vertical="center" indent="1"/>
    </xf>
    <xf numFmtId="0" fontId="31" fillId="0" borderId="20" xfId="0" applyFont="1" applyBorder="1" applyAlignment="1">
      <alignment horizontal="left" vertical="center" indent="1"/>
    </xf>
    <xf numFmtId="0" fontId="32" fillId="0" borderId="21" xfId="0" applyFont="1" applyBorder="1" applyAlignment="1">
      <alignment horizontal="left" vertical="center" indent="1"/>
    </xf>
    <xf numFmtId="0" fontId="31" fillId="0" borderId="22" xfId="0" applyFont="1" applyBorder="1" applyAlignment="1">
      <alignment horizontal="left" vertical="center" indent="1"/>
    </xf>
    <xf numFmtId="0" fontId="31" fillId="0" borderId="23" xfId="0" applyFont="1" applyBorder="1" applyAlignment="1">
      <alignment horizontal="left" vertical="center" indent="1"/>
    </xf>
    <xf numFmtId="0" fontId="29" fillId="0" borderId="0" xfId="0" applyFont="1" applyAlignment="1">
      <alignment horizontal="left" vertical="top"/>
    </xf>
    <xf numFmtId="0" fontId="25" fillId="0" borderId="0" xfId="0" applyFont="1" applyAlignment="1">
      <alignment horizontal="left" vertical="center"/>
    </xf>
    <xf numFmtId="0" fontId="33" fillId="0" borderId="16" xfId="0" applyFont="1" applyBorder="1" applyAlignment="1">
      <alignment horizontal="left" vertical="center"/>
    </xf>
    <xf numFmtId="0" fontId="29" fillId="0" borderId="17" xfId="0" applyFont="1" applyBorder="1" applyAlignment="1">
      <alignment horizontal="left" vertical="center"/>
    </xf>
    <xf numFmtId="0" fontId="29" fillId="0" borderId="18" xfId="0" applyFont="1" applyBorder="1" applyAlignment="1">
      <alignment horizontal="left" vertical="center"/>
    </xf>
    <xf numFmtId="0" fontId="28" fillId="15" borderId="15" xfId="13" applyFont="1" applyFill="1" applyBorder="1" applyAlignment="1">
      <alignment horizontal="center" vertical="center" wrapText="1"/>
    </xf>
    <xf numFmtId="0" fontId="28" fillId="0" borderId="15" xfId="13" applyFont="1" applyBorder="1" applyAlignment="1">
      <alignment horizontal="center" vertical="center" wrapText="1"/>
    </xf>
    <xf numFmtId="172" fontId="28" fillId="0" borderId="15" xfId="13" applyNumberFormat="1" applyFont="1" applyBorder="1" applyAlignment="1">
      <alignment horizontal="center" vertical="center" wrapText="1"/>
    </xf>
    <xf numFmtId="172" fontId="28" fillId="15" borderId="15" xfId="13" applyNumberFormat="1" applyFont="1" applyFill="1" applyBorder="1" applyAlignment="1">
      <alignment horizontal="center" vertical="center" wrapText="1"/>
    </xf>
    <xf numFmtId="0" fontId="34" fillId="0" borderId="15" xfId="13" applyFont="1" applyBorder="1" applyAlignment="1">
      <alignment horizontal="center" vertical="center" wrapText="1"/>
    </xf>
    <xf numFmtId="171" fontId="28" fillId="0" borderId="15" xfId="13" applyNumberFormat="1" applyFont="1" applyBorder="1" applyAlignment="1">
      <alignment horizontal="center" vertical="center" wrapText="1"/>
    </xf>
    <xf numFmtId="0" fontId="34" fillId="15" borderId="15" xfId="13" applyFont="1" applyFill="1" applyBorder="1" applyAlignment="1">
      <alignment horizontal="center" vertical="center" wrapText="1"/>
    </xf>
    <xf numFmtId="171" fontId="28" fillId="15" borderId="15" xfId="13" applyNumberFormat="1" applyFont="1" applyFill="1" applyBorder="1" applyAlignment="1">
      <alignment horizontal="center" vertical="center" wrapText="1"/>
    </xf>
    <xf numFmtId="164" fontId="28" fillId="0" borderId="15" xfId="1" applyNumberFormat="1" applyFont="1" applyFill="1" applyBorder="1" applyAlignment="1">
      <alignment horizontal="center" vertical="center"/>
    </xf>
    <xf numFmtId="0" fontId="28" fillId="0" borderId="25" xfId="13" applyFont="1" applyBorder="1" applyAlignment="1">
      <alignment horizontal="center" vertical="center" wrapText="1"/>
    </xf>
    <xf numFmtId="164" fontId="28" fillId="15" borderId="15" xfId="1" applyNumberFormat="1" applyFont="1" applyFill="1" applyBorder="1" applyAlignment="1">
      <alignment horizontal="center" vertical="center"/>
    </xf>
    <xf numFmtId="164" fontId="28" fillId="0" borderId="25" xfId="1" applyNumberFormat="1" applyFont="1" applyFill="1" applyBorder="1" applyAlignment="1">
      <alignment horizontal="center" vertical="center"/>
    </xf>
    <xf numFmtId="167" fontId="0" fillId="15" borderId="13" xfId="0" applyNumberFormat="1" applyFill="1" applyBorder="1" applyAlignment="1">
      <alignment horizontal="left" vertical="center" wrapText="1" indent="1"/>
    </xf>
    <xf numFmtId="167" fontId="0" fillId="15" borderId="8" xfId="0" applyNumberFormat="1" applyFill="1" applyBorder="1" applyAlignment="1">
      <alignment horizontal="left" vertical="center" wrapText="1" indent="1"/>
    </xf>
    <xf numFmtId="167" fontId="0" fillId="15" borderId="12" xfId="0" applyNumberFormat="1" applyFill="1" applyBorder="1" applyAlignment="1">
      <alignment horizontal="left" vertical="center" wrapText="1" indent="1"/>
    </xf>
    <xf numFmtId="0" fontId="0" fillId="0" borderId="10" xfId="0" applyBorder="1" applyAlignment="1">
      <alignment horizontal="center" vertical="center"/>
    </xf>
    <xf numFmtId="0" fontId="0" fillId="0" borderId="0" xfId="0" applyAlignment="1">
      <alignment horizontal="center" vertical="center"/>
    </xf>
    <xf numFmtId="0" fontId="2" fillId="0" borderId="0" xfId="8" applyAlignment="1">
      <alignment horizontal="right" indent="1"/>
    </xf>
    <xf numFmtId="0" fontId="2" fillId="0" borderId="9" xfId="8" applyBorder="1" applyAlignment="1">
      <alignment horizontal="right" indent="1"/>
    </xf>
    <xf numFmtId="168" fontId="2" fillId="0" borderId="10" xfId="9" applyBorder="1" applyAlignment="1">
      <alignment horizontal="center" vertical="center"/>
    </xf>
    <xf numFmtId="168" fontId="2" fillId="0" borderId="0" xfId="9" applyBorder="1" applyAlignment="1">
      <alignment horizontal="center" vertical="center"/>
    </xf>
    <xf numFmtId="168" fontId="2" fillId="0" borderId="9" xfId="9" applyBorder="1" applyAlignment="1">
      <alignment horizontal="center" vertical="center"/>
    </xf>
    <xf numFmtId="0" fontId="0" fillId="0" borderId="11" xfId="0" applyBorder="1" applyAlignment="1"/>
  </cellXfs>
  <cellStyles count="15">
    <cellStyle name="Comma" xfId="1" builtinId="3"/>
    <cellStyle name="Currency" xfId="14" builtinId="4"/>
    <cellStyle name="Date" xfId="5" xr:uid="{1F0501B2-AD17-477D-9396-EA8188CAD021}"/>
    <cellStyle name="Heading 1 2" xfId="11" xr:uid="{F769B284-87AB-41E3-ADA7-0EF273023072}"/>
    <cellStyle name="Heading 2 2" xfId="10" xr:uid="{D92396A9-62FD-4A70-9D0E-A3AA35B8D649}"/>
    <cellStyle name="Heading 3 2" xfId="8" xr:uid="{8752C313-3DF8-4E3D-B744-E2B8719E5627}"/>
    <cellStyle name="Hyperlink" xfId="4" builtinId="8"/>
    <cellStyle name="Name" xfId="6" xr:uid="{057D619A-98FE-4213-B3FB-369B6CF6C9DA}"/>
    <cellStyle name="Normal" xfId="0" builtinId="0"/>
    <cellStyle name="Normal 2" xfId="13" xr:uid="{32931AAC-41E4-1E4D-997F-5455B03E1831}"/>
    <cellStyle name="Percent" xfId="2" builtinId="5"/>
    <cellStyle name="Project Start" xfId="9" xr:uid="{9C663F3E-B22D-46DF-B3DA-8CA011EABEA3}"/>
    <cellStyle name="Task" xfId="7" xr:uid="{24819DD5-9F91-49A4-B221-C84E9B3B94F9}"/>
    <cellStyle name="Title 2" xfId="12" xr:uid="{370520BB-7D40-42A4-85E6-BFC3A89CF88E}"/>
    <cellStyle name="zHiddenText" xfId="3" xr:uid="{74BD314D-6836-4109-96D1-42DE78AF1DBB}"/>
  </cellStyles>
  <dxfs count="8">
    <dxf>
      <fill>
        <patternFill patternType="darkGrid"/>
      </fill>
    </dxf>
    <dxf>
      <fill>
        <patternFill>
          <bgColor theme="7"/>
        </patternFill>
      </fill>
      <border>
        <left/>
        <right/>
      </border>
    </dxf>
    <dxf>
      <fill>
        <patternFill>
          <bgColor theme="0" tint="-0.34998626667073579"/>
        </patternFill>
      </fill>
      <border>
        <left style="thin">
          <color auto="1"/>
        </left>
        <right style="thin">
          <color auto="1"/>
        </right>
        <top style="thin">
          <color auto="1"/>
        </top>
        <bottom style="thin">
          <color auto="1"/>
        </bottom>
      </border>
    </dxf>
    <dxf>
      <border>
        <left style="thin">
          <color rgb="FFC00000"/>
        </left>
        <right style="thin">
          <color rgb="FFC00000"/>
        </right>
        <vertical/>
        <horizontal/>
      </border>
    </dxf>
    <dxf>
      <numFmt numFmtId="0" formatCode="General"/>
      <fill>
        <patternFill patternType="darkGrid"/>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63E1E"/>
      <color rgb="FFF5C78A"/>
      <color rgb="FFB2B8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f16400962_win32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Schedule"/>
      <sheetName val="About"/>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68FB4-4725-5E49-B24C-1EC4B828ECB8}">
  <sheetPr>
    <pageSetUpPr fitToPage="1"/>
  </sheetPr>
  <dimension ref="A1:T52"/>
  <sheetViews>
    <sheetView view="pageBreakPreview" zoomScale="180" zoomScaleNormal="200" zoomScaleSheetLayoutView="180" workbookViewId="0">
      <selection activeCell="A7" sqref="A7"/>
    </sheetView>
  </sheetViews>
  <sheetFormatPr defaultColWidth="32.140625" defaultRowHeight="9"/>
  <cols>
    <col min="1" max="1" width="20.85546875" style="120" customWidth="1"/>
    <col min="2" max="2" width="10.28515625" style="120" customWidth="1"/>
    <col min="3" max="3" width="4" style="231" customWidth="1"/>
    <col min="4" max="4" width="5.28515625" style="238" customWidth="1"/>
    <col min="5" max="5" width="2.42578125" style="112" customWidth="1"/>
    <col min="6" max="6" width="3.7109375" style="118" customWidth="1"/>
    <col min="7" max="7" width="0.85546875" style="117" customWidth="1"/>
    <col min="8" max="8" width="18.42578125" style="120" customWidth="1"/>
    <col min="9" max="9" width="9.140625" style="120" bestFit="1" customWidth="1"/>
    <col min="10" max="10" width="3.7109375" style="231" customWidth="1"/>
    <col min="11" max="11" width="4.7109375" style="227" customWidth="1"/>
    <col min="12" max="12" width="2.7109375" style="120" customWidth="1"/>
    <col min="13" max="13" width="3.42578125" style="120" customWidth="1"/>
    <col min="14" max="14" width="1" style="120" customWidth="1"/>
    <col min="15" max="15" width="33.85546875" style="120" customWidth="1"/>
    <col min="16" max="16" width="11" style="120" bestFit="1" customWidth="1"/>
    <col min="17" max="17" width="5.5703125" style="231" customWidth="1"/>
    <col min="18" max="18" width="5.85546875" style="227" customWidth="1"/>
    <col min="19" max="19" width="3.42578125" style="120" bestFit="1" customWidth="1"/>
    <col min="20" max="20" width="4" style="120" bestFit="1" customWidth="1"/>
    <col min="21" max="21" width="8.7109375" style="120" customWidth="1"/>
    <col min="22" max="16384" width="32.140625" style="120"/>
  </cols>
  <sheetData>
    <row r="1" spans="1:20" s="122" customFormat="1" ht="17.25" customHeight="1" thickBot="1">
      <c r="A1" s="244" t="s">
        <v>0</v>
      </c>
      <c r="B1" s="244"/>
      <c r="C1" s="244" t="s">
        <v>1</v>
      </c>
      <c r="D1" s="244"/>
      <c r="E1" s="244"/>
      <c r="F1" s="244"/>
      <c r="G1" s="244"/>
      <c r="H1" s="122" t="s">
        <v>2</v>
      </c>
      <c r="I1" s="244" t="s">
        <v>3</v>
      </c>
      <c r="J1" s="244"/>
      <c r="K1" s="244"/>
      <c r="L1" s="244"/>
      <c r="M1" s="244"/>
      <c r="O1" s="122" t="s">
        <v>4</v>
      </c>
      <c r="P1" s="244" t="s">
        <v>5</v>
      </c>
      <c r="Q1" s="244"/>
      <c r="R1" s="244"/>
      <c r="S1" s="244"/>
      <c r="T1" s="244"/>
    </row>
    <row r="2" spans="1:20" s="123" customFormat="1" ht="12" customHeight="1">
      <c r="A2" s="244" t="s">
        <v>6</v>
      </c>
      <c r="B2" s="244"/>
      <c r="C2" s="244"/>
      <c r="D2" s="244"/>
      <c r="E2" s="244"/>
      <c r="F2" s="244"/>
      <c r="H2" s="124" t="s">
        <v>7</v>
      </c>
      <c r="I2" s="253" t="s">
        <v>8</v>
      </c>
      <c r="J2" s="253"/>
      <c r="K2" s="253"/>
      <c r="L2" s="253"/>
      <c r="M2" s="253"/>
      <c r="O2" s="254" t="s">
        <v>9</v>
      </c>
      <c r="P2" s="255"/>
      <c r="Q2" s="255"/>
      <c r="R2" s="255"/>
      <c r="S2" s="255"/>
      <c r="T2" s="256"/>
    </row>
    <row r="3" spans="1:20" s="123" customFormat="1" ht="13.5" customHeight="1">
      <c r="A3" s="124" t="s">
        <v>10</v>
      </c>
      <c r="B3" s="124"/>
      <c r="C3" s="232"/>
      <c r="D3" s="234"/>
      <c r="E3" s="124"/>
      <c r="F3" s="124"/>
      <c r="H3" s="122" t="s">
        <v>11</v>
      </c>
      <c r="I3" s="252" t="s">
        <v>12</v>
      </c>
      <c r="J3" s="252"/>
      <c r="K3" s="252"/>
      <c r="L3" s="252"/>
      <c r="M3" s="252"/>
      <c r="O3" s="246" t="s">
        <v>13</v>
      </c>
      <c r="P3" s="247"/>
      <c r="Q3" s="247"/>
      <c r="R3" s="247"/>
      <c r="S3" s="247"/>
      <c r="T3" s="248"/>
    </row>
    <row r="4" spans="1:20" s="123" customFormat="1" ht="12" customHeight="1">
      <c r="A4" s="244" t="s">
        <v>14</v>
      </c>
      <c r="B4" s="244"/>
      <c r="C4" s="244"/>
      <c r="D4" s="244"/>
      <c r="E4" s="244"/>
      <c r="F4" s="244"/>
      <c r="H4" s="125" t="s">
        <v>15</v>
      </c>
      <c r="I4" s="245" t="s">
        <v>16</v>
      </c>
      <c r="J4" s="245"/>
      <c r="K4" s="245"/>
      <c r="L4" s="245"/>
      <c r="M4" s="245"/>
      <c r="N4" s="124"/>
      <c r="O4" s="249" t="s">
        <v>17</v>
      </c>
      <c r="P4" s="250"/>
      <c r="Q4" s="250"/>
      <c r="R4" s="250"/>
      <c r="S4" s="250"/>
      <c r="T4" s="251"/>
    </row>
    <row r="5" spans="1:20" s="113" customFormat="1" ht="11.65" customHeight="1">
      <c r="A5" s="243" t="s">
        <v>18</v>
      </c>
      <c r="B5" s="243"/>
      <c r="C5" s="243"/>
      <c r="D5" s="243"/>
      <c r="E5" s="243"/>
      <c r="F5" s="243"/>
      <c r="H5" s="130" t="s">
        <v>19</v>
      </c>
      <c r="I5" s="130" t="s">
        <v>20</v>
      </c>
      <c r="J5" s="228" t="s">
        <v>21</v>
      </c>
      <c r="K5" s="225" t="s">
        <v>22</v>
      </c>
      <c r="L5" s="131" t="s">
        <v>23</v>
      </c>
      <c r="M5" s="131" t="s">
        <v>24</v>
      </c>
      <c r="O5" s="243" t="s">
        <v>25</v>
      </c>
      <c r="P5" s="243"/>
      <c r="Q5" s="243"/>
      <c r="R5" s="243"/>
      <c r="S5" s="243"/>
      <c r="T5" s="243"/>
    </row>
    <row r="6" spans="1:20" s="114" customFormat="1">
      <c r="A6" s="130" t="s">
        <v>26</v>
      </c>
      <c r="B6" s="130" t="s">
        <v>20</v>
      </c>
      <c r="C6" s="228" t="s">
        <v>21</v>
      </c>
      <c r="D6" s="235" t="s">
        <v>22</v>
      </c>
      <c r="E6" s="131" t="s">
        <v>23</v>
      </c>
      <c r="F6" s="131" t="s">
        <v>24</v>
      </c>
      <c r="H6" s="115" t="s">
        <v>27</v>
      </c>
      <c r="I6" s="116" t="s">
        <v>28</v>
      </c>
      <c r="J6" s="229">
        <v>22</v>
      </c>
      <c r="K6" s="233">
        <f t="shared" ref="K6:K8" si="0">J6/2</f>
        <v>11</v>
      </c>
      <c r="L6" s="111"/>
      <c r="M6" s="110"/>
      <c r="N6" s="121"/>
      <c r="O6" s="130" t="s">
        <v>29</v>
      </c>
      <c r="P6" s="130" t="s">
        <v>20</v>
      </c>
      <c r="Q6" s="228" t="s">
        <v>21</v>
      </c>
      <c r="R6" s="225" t="s">
        <v>22</v>
      </c>
      <c r="S6" s="131" t="s">
        <v>23</v>
      </c>
      <c r="T6" s="131" t="s">
        <v>24</v>
      </c>
    </row>
    <row r="7" spans="1:20" s="117" customFormat="1" ht="9.9499999999999993" customHeight="1">
      <c r="A7" s="115" t="s">
        <v>30</v>
      </c>
      <c r="B7" s="116" t="s">
        <v>31</v>
      </c>
      <c r="C7" s="229">
        <v>22</v>
      </c>
      <c r="D7" s="236">
        <f t="shared" ref="D7:D15" si="1">C7/2</f>
        <v>11</v>
      </c>
      <c r="E7" s="111"/>
      <c r="F7" s="110"/>
      <c r="H7" s="132" t="s">
        <v>32</v>
      </c>
      <c r="I7" s="135" t="s">
        <v>33</v>
      </c>
      <c r="J7" s="230">
        <v>43</v>
      </c>
      <c r="K7" s="226">
        <f t="shared" si="0"/>
        <v>21.5</v>
      </c>
      <c r="L7" s="134"/>
      <c r="M7" s="133"/>
      <c r="N7" s="118"/>
      <c r="O7" s="115" t="s">
        <v>34</v>
      </c>
      <c r="P7" s="116" t="s">
        <v>35</v>
      </c>
      <c r="Q7" s="229">
        <v>68</v>
      </c>
      <c r="R7" s="233">
        <f>Q7/2</f>
        <v>34</v>
      </c>
      <c r="S7" s="111"/>
      <c r="T7" s="110"/>
    </row>
    <row r="8" spans="1:20" s="119" customFormat="1">
      <c r="A8" s="132" t="s">
        <v>36</v>
      </c>
      <c r="B8" s="135" t="s">
        <v>37</v>
      </c>
      <c r="C8" s="230">
        <v>43</v>
      </c>
      <c r="D8" s="237">
        <f t="shared" si="1"/>
        <v>21.5</v>
      </c>
      <c r="E8" s="134"/>
      <c r="F8" s="133"/>
      <c r="H8" s="126" t="s">
        <v>38</v>
      </c>
      <c r="I8" s="116" t="s">
        <v>39</v>
      </c>
      <c r="J8" s="229">
        <v>66</v>
      </c>
      <c r="K8" s="233">
        <f t="shared" si="0"/>
        <v>33</v>
      </c>
      <c r="L8" s="111"/>
      <c r="M8" s="110"/>
      <c r="N8" s="118"/>
      <c r="O8" s="132" t="s">
        <v>40</v>
      </c>
      <c r="P8" s="135" t="s">
        <v>41</v>
      </c>
      <c r="Q8" s="230">
        <v>126</v>
      </c>
      <c r="R8" s="226">
        <f>Q8/2</f>
        <v>63</v>
      </c>
      <c r="S8" s="134"/>
      <c r="T8" s="133"/>
    </row>
    <row r="9" spans="1:20" s="119" customFormat="1">
      <c r="A9" s="115" t="s">
        <v>42</v>
      </c>
      <c r="B9" s="116" t="s">
        <v>43</v>
      </c>
      <c r="C9" s="229">
        <v>66</v>
      </c>
      <c r="D9" s="236">
        <f t="shared" si="1"/>
        <v>33</v>
      </c>
      <c r="E9" s="111"/>
      <c r="F9" s="110"/>
      <c r="H9" s="136" t="s">
        <v>44</v>
      </c>
      <c r="I9" s="137" t="s">
        <v>45</v>
      </c>
      <c r="J9" s="230">
        <v>22</v>
      </c>
      <c r="K9" s="226">
        <f>J9/2</f>
        <v>11</v>
      </c>
      <c r="L9" s="134"/>
      <c r="M9" s="133"/>
      <c r="N9" s="118"/>
      <c r="O9" s="115" t="s">
        <v>46</v>
      </c>
      <c r="P9" s="116" t="s">
        <v>47</v>
      </c>
      <c r="Q9" s="229">
        <v>68</v>
      </c>
      <c r="R9" s="233">
        <f>Q9/2</f>
        <v>34</v>
      </c>
      <c r="S9" s="111"/>
      <c r="T9" s="110"/>
    </row>
    <row r="10" spans="1:20" s="119" customFormat="1" ht="9.9499999999999993" customHeight="1">
      <c r="A10" s="132" t="s">
        <v>48</v>
      </c>
      <c r="B10" s="135" t="s">
        <v>49</v>
      </c>
      <c r="C10" s="230">
        <v>22</v>
      </c>
      <c r="D10" s="237">
        <f t="shared" si="1"/>
        <v>11</v>
      </c>
      <c r="E10" s="134"/>
      <c r="F10" s="133"/>
      <c r="H10" s="128" t="s">
        <v>50</v>
      </c>
      <c r="I10" s="129" t="s">
        <v>51</v>
      </c>
      <c r="J10" s="229">
        <v>43</v>
      </c>
      <c r="K10" s="233">
        <f>J10/2</f>
        <v>21.5</v>
      </c>
      <c r="L10" s="111"/>
      <c r="M10" s="110"/>
      <c r="N10" s="118"/>
      <c r="O10" s="132" t="s">
        <v>52</v>
      </c>
      <c r="P10" s="135" t="s">
        <v>53</v>
      </c>
      <c r="Q10" s="230">
        <v>49</v>
      </c>
      <c r="R10" s="226">
        <f>Q10/2</f>
        <v>24.5</v>
      </c>
      <c r="S10" s="134"/>
      <c r="T10" s="133"/>
    </row>
    <row r="11" spans="1:20">
      <c r="A11" s="115" t="s">
        <v>54</v>
      </c>
      <c r="B11" s="116" t="s">
        <v>55</v>
      </c>
      <c r="C11" s="229">
        <v>43</v>
      </c>
      <c r="D11" s="236">
        <f t="shared" si="1"/>
        <v>21.5</v>
      </c>
      <c r="E11" s="111"/>
      <c r="F11" s="110"/>
      <c r="G11" s="120"/>
      <c r="H11" s="136" t="s">
        <v>56</v>
      </c>
      <c r="I11" s="137" t="s">
        <v>57</v>
      </c>
      <c r="J11" s="230">
        <v>66</v>
      </c>
      <c r="K11" s="226">
        <v>33</v>
      </c>
      <c r="L11" s="134"/>
      <c r="M11" s="133"/>
      <c r="N11" s="118"/>
      <c r="O11" s="115" t="s">
        <v>58</v>
      </c>
      <c r="P11" s="116" t="s">
        <v>59</v>
      </c>
      <c r="Q11" s="229">
        <v>45</v>
      </c>
      <c r="R11" s="233">
        <v>22.5</v>
      </c>
      <c r="S11" s="111"/>
      <c r="T11" s="110"/>
    </row>
    <row r="12" spans="1:20">
      <c r="A12" s="132" t="s">
        <v>60</v>
      </c>
      <c r="B12" s="135" t="s">
        <v>61</v>
      </c>
      <c r="C12" s="230">
        <v>66</v>
      </c>
      <c r="D12" s="237">
        <f t="shared" si="1"/>
        <v>33</v>
      </c>
      <c r="E12" s="134"/>
      <c r="F12" s="133"/>
      <c r="G12" s="120"/>
      <c r="H12" s="127" t="s">
        <v>62</v>
      </c>
      <c r="I12" s="116" t="s">
        <v>63</v>
      </c>
      <c r="J12" s="229">
        <v>22</v>
      </c>
      <c r="K12" s="233">
        <f t="shared" ref="K12:K14" si="2">J12/2</f>
        <v>11</v>
      </c>
      <c r="L12" s="111"/>
      <c r="M12" s="110"/>
      <c r="N12" s="118"/>
      <c r="O12" s="135" t="s">
        <v>64</v>
      </c>
      <c r="P12" s="135" t="s">
        <v>65</v>
      </c>
      <c r="Q12" s="230">
        <v>79</v>
      </c>
      <c r="R12" s="226">
        <v>39.5</v>
      </c>
      <c r="S12" s="134"/>
      <c r="T12" s="133"/>
    </row>
    <row r="13" spans="1:20">
      <c r="A13" s="115" t="s">
        <v>66</v>
      </c>
      <c r="B13" s="116" t="s">
        <v>67</v>
      </c>
      <c r="C13" s="229">
        <v>22</v>
      </c>
      <c r="D13" s="236">
        <f t="shared" si="1"/>
        <v>11</v>
      </c>
      <c r="E13" s="111"/>
      <c r="F13" s="110"/>
      <c r="G13" s="120"/>
      <c r="H13" s="132" t="s">
        <v>68</v>
      </c>
      <c r="I13" s="135" t="s">
        <v>69</v>
      </c>
      <c r="J13" s="230">
        <v>43</v>
      </c>
      <c r="K13" s="226">
        <f t="shared" si="2"/>
        <v>21.5</v>
      </c>
      <c r="L13" s="134"/>
      <c r="M13" s="133"/>
      <c r="N13" s="118"/>
      <c r="O13" s="130" t="s">
        <v>70</v>
      </c>
      <c r="P13" s="130" t="s">
        <v>20</v>
      </c>
      <c r="Q13" s="228" t="s">
        <v>21</v>
      </c>
      <c r="R13" s="225" t="s">
        <v>22</v>
      </c>
      <c r="S13" s="131" t="s">
        <v>23</v>
      </c>
      <c r="T13" s="131" t="s">
        <v>24</v>
      </c>
    </row>
    <row r="14" spans="1:20">
      <c r="A14" s="132" t="s">
        <v>71</v>
      </c>
      <c r="B14" s="135" t="s">
        <v>72</v>
      </c>
      <c r="C14" s="230">
        <v>43</v>
      </c>
      <c r="D14" s="237">
        <f t="shared" si="1"/>
        <v>21.5</v>
      </c>
      <c r="E14" s="134"/>
      <c r="F14" s="133"/>
      <c r="G14" s="120"/>
      <c r="H14" s="115" t="s">
        <v>73</v>
      </c>
      <c r="I14" s="116" t="s">
        <v>74</v>
      </c>
      <c r="J14" s="229">
        <v>66</v>
      </c>
      <c r="K14" s="233">
        <f t="shared" si="2"/>
        <v>33</v>
      </c>
      <c r="L14" s="111"/>
      <c r="M14" s="110"/>
      <c r="N14" s="118"/>
      <c r="O14" s="115" t="s">
        <v>75</v>
      </c>
      <c r="P14" s="116" t="s">
        <v>76</v>
      </c>
      <c r="Q14" s="229">
        <v>34</v>
      </c>
      <c r="R14" s="233">
        <f>Q14/2</f>
        <v>17</v>
      </c>
      <c r="S14" s="111"/>
      <c r="T14" s="110"/>
    </row>
    <row r="15" spans="1:20">
      <c r="A15" s="115" t="s">
        <v>77</v>
      </c>
      <c r="B15" s="116" t="s">
        <v>78</v>
      </c>
      <c r="C15" s="229">
        <v>66</v>
      </c>
      <c r="D15" s="236">
        <f t="shared" si="1"/>
        <v>33</v>
      </c>
      <c r="E15" s="111"/>
      <c r="F15" s="110"/>
      <c r="G15" s="120"/>
      <c r="H15" s="132" t="s">
        <v>79</v>
      </c>
      <c r="I15" s="135" t="s">
        <v>80</v>
      </c>
      <c r="J15" s="230">
        <v>22</v>
      </c>
      <c r="K15" s="226">
        <f>J15/2</f>
        <v>11</v>
      </c>
      <c r="L15" s="134"/>
      <c r="M15" s="133"/>
      <c r="N15" s="118"/>
      <c r="O15" s="132" t="s">
        <v>81</v>
      </c>
      <c r="P15" s="135" t="s">
        <v>82</v>
      </c>
      <c r="Q15" s="230">
        <v>34</v>
      </c>
      <c r="R15" s="226">
        <v>17</v>
      </c>
      <c r="S15" s="134"/>
      <c r="T15" s="133"/>
    </row>
    <row r="16" spans="1:20" ht="9.9499999999999993" customHeight="1">
      <c r="A16" s="130" t="s">
        <v>83</v>
      </c>
      <c r="B16" s="130" t="s">
        <v>20</v>
      </c>
      <c r="C16" s="228" t="s">
        <v>21</v>
      </c>
      <c r="D16" s="235" t="s">
        <v>22</v>
      </c>
      <c r="E16" s="131" t="s">
        <v>23</v>
      </c>
      <c r="F16" s="131" t="s">
        <v>24</v>
      </c>
      <c r="G16" s="120"/>
      <c r="H16" s="115" t="s">
        <v>84</v>
      </c>
      <c r="I16" s="116" t="s">
        <v>85</v>
      </c>
      <c r="J16" s="229">
        <v>43</v>
      </c>
      <c r="K16" s="233">
        <f>J16/2</f>
        <v>21.5</v>
      </c>
      <c r="L16" s="111"/>
      <c r="M16" s="110"/>
      <c r="N16" s="118"/>
      <c r="O16" s="156" t="s">
        <v>86</v>
      </c>
      <c r="P16" s="147" t="s">
        <v>87</v>
      </c>
      <c r="Q16" s="242">
        <v>34</v>
      </c>
      <c r="R16" s="241">
        <v>17</v>
      </c>
      <c r="S16" s="155"/>
      <c r="T16" s="154"/>
    </row>
    <row r="17" spans="1:20">
      <c r="A17" s="115" t="s">
        <v>88</v>
      </c>
      <c r="B17" s="116" t="s">
        <v>89</v>
      </c>
      <c r="C17" s="229">
        <v>22</v>
      </c>
      <c r="D17" s="236">
        <f t="shared" ref="D17:D25" si="3">C17/2</f>
        <v>11</v>
      </c>
      <c r="E17" s="111"/>
      <c r="F17" s="110"/>
      <c r="G17" s="120"/>
      <c r="H17" s="132" t="s">
        <v>90</v>
      </c>
      <c r="I17" s="135" t="s">
        <v>91</v>
      </c>
      <c r="J17" s="230">
        <v>66</v>
      </c>
      <c r="K17" s="226">
        <v>33</v>
      </c>
      <c r="L17" s="134"/>
      <c r="M17" s="133"/>
      <c r="N17" s="121"/>
      <c r="O17" s="132" t="s">
        <v>92</v>
      </c>
      <c r="P17" s="135" t="s">
        <v>93</v>
      </c>
      <c r="Q17" s="230">
        <v>57</v>
      </c>
      <c r="R17" s="226">
        <f>Q17/2</f>
        <v>28.5</v>
      </c>
      <c r="S17" s="134"/>
      <c r="T17" s="133"/>
    </row>
    <row r="18" spans="1:20" ht="9.9499999999999993" customHeight="1">
      <c r="A18" s="132" t="s">
        <v>94</v>
      </c>
      <c r="B18" s="135" t="s">
        <v>95</v>
      </c>
      <c r="C18" s="230">
        <v>43</v>
      </c>
      <c r="D18" s="237">
        <f t="shared" si="3"/>
        <v>21.5</v>
      </c>
      <c r="E18" s="134"/>
      <c r="F18" s="133"/>
      <c r="G18" s="120"/>
      <c r="H18" s="115" t="s">
        <v>96</v>
      </c>
      <c r="I18" s="116" t="s">
        <v>97</v>
      </c>
      <c r="J18" s="229">
        <v>22</v>
      </c>
      <c r="K18" s="233">
        <f t="shared" ref="K18:K20" si="4">J18/2</f>
        <v>11</v>
      </c>
      <c r="L18" s="111"/>
      <c r="M18" s="110"/>
      <c r="N18" s="118"/>
      <c r="O18" s="153" t="s">
        <v>98</v>
      </c>
      <c r="P18" s="147" t="s">
        <v>99</v>
      </c>
      <c r="Q18" s="242">
        <v>29</v>
      </c>
      <c r="R18" s="241">
        <v>14.5</v>
      </c>
      <c r="S18" s="155"/>
      <c r="T18" s="154"/>
    </row>
    <row r="19" spans="1:20">
      <c r="A19" s="115" t="s">
        <v>100</v>
      </c>
      <c r="B19" s="116" t="s">
        <v>101</v>
      </c>
      <c r="C19" s="229">
        <v>66</v>
      </c>
      <c r="D19" s="236">
        <f t="shared" si="3"/>
        <v>33</v>
      </c>
      <c r="E19" s="111"/>
      <c r="F19" s="110"/>
      <c r="G19" s="120"/>
      <c r="H19" s="132" t="s">
        <v>102</v>
      </c>
      <c r="I19" s="135" t="s">
        <v>103</v>
      </c>
      <c r="J19" s="230">
        <v>43</v>
      </c>
      <c r="K19" s="226">
        <f t="shared" si="4"/>
        <v>21.5</v>
      </c>
      <c r="L19" s="134"/>
      <c r="M19" s="133"/>
      <c r="N19" s="118"/>
      <c r="O19" s="132" t="s">
        <v>104</v>
      </c>
      <c r="P19" s="135" t="s">
        <v>105</v>
      </c>
      <c r="Q19" s="230">
        <v>57</v>
      </c>
      <c r="R19" s="226">
        <f>Q19/2</f>
        <v>28.5</v>
      </c>
      <c r="S19" s="134"/>
      <c r="T19" s="133"/>
    </row>
    <row r="20" spans="1:20">
      <c r="A20" s="132" t="s">
        <v>106</v>
      </c>
      <c r="B20" s="135" t="s">
        <v>107</v>
      </c>
      <c r="C20" s="230">
        <v>22</v>
      </c>
      <c r="D20" s="237">
        <f t="shared" si="3"/>
        <v>11</v>
      </c>
      <c r="E20" s="134"/>
      <c r="F20" s="133"/>
      <c r="G20" s="120"/>
      <c r="H20" s="115" t="s">
        <v>108</v>
      </c>
      <c r="I20" s="116" t="s">
        <v>109</v>
      </c>
      <c r="J20" s="229">
        <v>66</v>
      </c>
      <c r="K20" s="233">
        <f t="shared" si="4"/>
        <v>33</v>
      </c>
      <c r="L20" s="111"/>
      <c r="M20" s="110"/>
      <c r="N20" s="118"/>
      <c r="O20" s="153" t="s">
        <v>110</v>
      </c>
      <c r="P20" s="147" t="s">
        <v>111</v>
      </c>
      <c r="Q20" s="242">
        <v>29</v>
      </c>
      <c r="R20" s="241">
        <v>14.5</v>
      </c>
      <c r="S20" s="155"/>
      <c r="T20" s="154"/>
    </row>
    <row r="21" spans="1:20" ht="9.9499999999999993" customHeight="1">
      <c r="A21" s="115" t="s">
        <v>112</v>
      </c>
      <c r="B21" s="116" t="s">
        <v>113</v>
      </c>
      <c r="C21" s="229">
        <v>43</v>
      </c>
      <c r="D21" s="236">
        <f t="shared" si="3"/>
        <v>21.5</v>
      </c>
      <c r="E21" s="111"/>
      <c r="F21" s="110"/>
      <c r="G21" s="120"/>
      <c r="H21" s="186" t="s">
        <v>114</v>
      </c>
      <c r="I21" s="184" t="s">
        <v>115</v>
      </c>
      <c r="J21" s="230">
        <v>22</v>
      </c>
      <c r="K21" s="226">
        <f>J21/2</f>
        <v>11</v>
      </c>
      <c r="L21" s="184"/>
      <c r="M21" s="184"/>
      <c r="N21" s="118"/>
      <c r="O21" s="132" t="s">
        <v>116</v>
      </c>
      <c r="P21" s="135" t="s">
        <v>117</v>
      </c>
      <c r="Q21" s="230">
        <v>57</v>
      </c>
      <c r="R21" s="226">
        <f>Q21/2</f>
        <v>28.5</v>
      </c>
      <c r="S21" s="134"/>
      <c r="T21" s="133"/>
    </row>
    <row r="22" spans="1:20">
      <c r="A22" s="132" t="s">
        <v>118</v>
      </c>
      <c r="B22" s="135" t="s">
        <v>119</v>
      </c>
      <c r="C22" s="230">
        <v>66</v>
      </c>
      <c r="D22" s="237">
        <f t="shared" si="3"/>
        <v>33</v>
      </c>
      <c r="E22" s="134"/>
      <c r="F22" s="133"/>
      <c r="G22" s="120"/>
      <c r="H22" s="187" t="s">
        <v>120</v>
      </c>
      <c r="I22" s="185" t="s">
        <v>121</v>
      </c>
      <c r="J22" s="229">
        <v>43</v>
      </c>
      <c r="K22" s="233">
        <f>J22/2</f>
        <v>21.5</v>
      </c>
      <c r="L22" s="185"/>
      <c r="M22" s="185"/>
      <c r="N22" s="118"/>
      <c r="O22" s="153" t="s">
        <v>122</v>
      </c>
      <c r="P22" s="147" t="s">
        <v>123</v>
      </c>
      <c r="Q22" s="242">
        <v>29</v>
      </c>
      <c r="R22" s="241">
        <v>14.5</v>
      </c>
      <c r="S22" s="155"/>
      <c r="T22" s="154"/>
    </row>
    <row r="23" spans="1:20" ht="9.9499999999999993" customHeight="1">
      <c r="A23" s="115" t="s">
        <v>124</v>
      </c>
      <c r="B23" s="116" t="s">
        <v>125</v>
      </c>
      <c r="C23" s="229">
        <v>22</v>
      </c>
      <c r="D23" s="236">
        <f t="shared" si="3"/>
        <v>11</v>
      </c>
      <c r="E23" s="111"/>
      <c r="F23" s="110"/>
      <c r="G23" s="120"/>
      <c r="H23" s="186" t="s">
        <v>126</v>
      </c>
      <c r="I23" s="184" t="s">
        <v>127</v>
      </c>
      <c r="J23" s="230">
        <v>66</v>
      </c>
      <c r="K23" s="226">
        <v>33</v>
      </c>
      <c r="L23" s="184"/>
      <c r="M23" s="184"/>
      <c r="N23" s="118"/>
      <c r="O23" s="132" t="s">
        <v>128</v>
      </c>
      <c r="P23" s="135" t="s">
        <v>129</v>
      </c>
      <c r="Q23" s="230">
        <v>49</v>
      </c>
      <c r="R23" s="226">
        <f t="shared" ref="R23" si="5">Q23/2</f>
        <v>24.5</v>
      </c>
      <c r="S23" s="134"/>
      <c r="T23" s="133"/>
    </row>
    <row r="24" spans="1:20" ht="9.9499999999999993" customHeight="1">
      <c r="A24" s="132" t="s">
        <v>130</v>
      </c>
      <c r="B24" s="135" t="s">
        <v>131</v>
      </c>
      <c r="C24" s="230">
        <v>43</v>
      </c>
      <c r="D24" s="237">
        <f t="shared" si="3"/>
        <v>21.5</v>
      </c>
      <c r="E24" s="134"/>
      <c r="F24" s="133"/>
      <c r="G24" s="120"/>
      <c r="H24" s="130" t="s">
        <v>132</v>
      </c>
      <c r="I24" s="130" t="s">
        <v>20</v>
      </c>
      <c r="J24" s="228" t="s">
        <v>21</v>
      </c>
      <c r="K24" s="225" t="s">
        <v>22</v>
      </c>
      <c r="L24" s="131" t="s">
        <v>23</v>
      </c>
      <c r="M24" s="131" t="s">
        <v>24</v>
      </c>
      <c r="N24" s="118"/>
      <c r="O24" s="153" t="s">
        <v>133</v>
      </c>
      <c r="P24" s="147" t="s">
        <v>134</v>
      </c>
      <c r="Q24" s="242">
        <v>29</v>
      </c>
      <c r="R24" s="241">
        <v>14.5</v>
      </c>
      <c r="S24" s="155"/>
      <c r="T24" s="154"/>
    </row>
    <row r="25" spans="1:20">
      <c r="A25" s="115" t="s">
        <v>135</v>
      </c>
      <c r="B25" s="116" t="s">
        <v>136</v>
      </c>
      <c r="C25" s="229">
        <v>66</v>
      </c>
      <c r="D25" s="236">
        <f t="shared" si="3"/>
        <v>33</v>
      </c>
      <c r="E25" s="111"/>
      <c r="F25" s="110"/>
      <c r="G25" s="120"/>
      <c r="H25" s="115" t="s">
        <v>137</v>
      </c>
      <c r="I25" s="116" t="s">
        <v>138</v>
      </c>
      <c r="J25" s="229">
        <v>22</v>
      </c>
      <c r="K25" s="233">
        <f>J25/2</f>
        <v>11</v>
      </c>
      <c r="L25" s="111"/>
      <c r="M25" s="110"/>
      <c r="N25" s="118"/>
      <c r="O25" s="132" t="s">
        <v>139</v>
      </c>
      <c r="P25" s="135" t="s">
        <v>140</v>
      </c>
      <c r="Q25" s="230">
        <v>57</v>
      </c>
      <c r="R25" s="226">
        <f>Q25/2</f>
        <v>28.5</v>
      </c>
      <c r="S25" s="134"/>
      <c r="T25" s="133"/>
    </row>
    <row r="26" spans="1:20">
      <c r="A26" s="132" t="s">
        <v>141</v>
      </c>
      <c r="B26" s="135" t="s">
        <v>142</v>
      </c>
      <c r="C26" s="230">
        <v>22</v>
      </c>
      <c r="D26" s="237">
        <f t="shared" ref="D26:D28" si="6">C26/2</f>
        <v>11</v>
      </c>
      <c r="E26" s="134"/>
      <c r="F26" s="133"/>
      <c r="H26" s="132" t="s">
        <v>143</v>
      </c>
      <c r="I26" s="135" t="s">
        <v>144</v>
      </c>
      <c r="J26" s="230">
        <v>43</v>
      </c>
      <c r="K26" s="226">
        <v>21.5</v>
      </c>
      <c r="L26" s="134"/>
      <c r="M26" s="133"/>
      <c r="N26" s="118"/>
      <c r="O26" s="153" t="s">
        <v>145</v>
      </c>
      <c r="P26" s="147" t="s">
        <v>146</v>
      </c>
      <c r="Q26" s="242">
        <v>29</v>
      </c>
      <c r="R26" s="241">
        <v>14.5</v>
      </c>
      <c r="S26" s="155"/>
      <c r="T26" s="154"/>
    </row>
    <row r="27" spans="1:20" ht="9.9499999999999993" customHeight="1">
      <c r="A27" s="115" t="s">
        <v>147</v>
      </c>
      <c r="B27" s="116" t="s">
        <v>148</v>
      </c>
      <c r="C27" s="229">
        <v>43</v>
      </c>
      <c r="D27" s="236">
        <f t="shared" si="6"/>
        <v>21.5</v>
      </c>
      <c r="E27" s="111"/>
      <c r="F27" s="110"/>
      <c r="H27" s="115" t="s">
        <v>149</v>
      </c>
      <c r="I27" s="116" t="s">
        <v>150</v>
      </c>
      <c r="J27" s="229">
        <v>66</v>
      </c>
      <c r="K27" s="233">
        <f>J27/2</f>
        <v>33</v>
      </c>
      <c r="L27" s="111"/>
      <c r="M27" s="110"/>
      <c r="N27" s="121"/>
      <c r="O27" s="132" t="s">
        <v>151</v>
      </c>
      <c r="P27" s="135" t="s">
        <v>152</v>
      </c>
      <c r="Q27" s="230">
        <v>57</v>
      </c>
      <c r="R27" s="226">
        <f>Q27/2</f>
        <v>28.5</v>
      </c>
      <c r="S27" s="134"/>
      <c r="T27" s="133"/>
    </row>
    <row r="28" spans="1:20">
      <c r="A28" s="132" t="s">
        <v>153</v>
      </c>
      <c r="B28" s="135" t="s">
        <v>154</v>
      </c>
      <c r="C28" s="230">
        <v>66</v>
      </c>
      <c r="D28" s="237">
        <f t="shared" si="6"/>
        <v>33</v>
      </c>
      <c r="E28" s="134"/>
      <c r="F28" s="133"/>
      <c r="H28" s="132" t="s">
        <v>155</v>
      </c>
      <c r="I28" s="135" t="s">
        <v>156</v>
      </c>
      <c r="J28" s="230">
        <v>22</v>
      </c>
      <c r="K28" s="226">
        <f>J28/2</f>
        <v>11</v>
      </c>
      <c r="L28" s="134"/>
      <c r="M28" s="133"/>
      <c r="N28" s="118"/>
      <c r="O28" s="153" t="s">
        <v>157</v>
      </c>
      <c r="P28" s="147" t="s">
        <v>158</v>
      </c>
      <c r="Q28" s="242">
        <v>29</v>
      </c>
      <c r="R28" s="241">
        <v>14.5</v>
      </c>
      <c r="S28" s="155"/>
      <c r="T28" s="154"/>
    </row>
    <row r="29" spans="1:20">
      <c r="A29" s="130" t="s">
        <v>159</v>
      </c>
      <c r="B29" s="130" t="s">
        <v>20</v>
      </c>
      <c r="C29" s="228" t="s">
        <v>21</v>
      </c>
      <c r="D29" s="235" t="s">
        <v>22</v>
      </c>
      <c r="E29" s="131" t="s">
        <v>23</v>
      </c>
      <c r="F29" s="131" t="s">
        <v>24</v>
      </c>
      <c r="H29" s="115" t="s">
        <v>160</v>
      </c>
      <c r="I29" s="116" t="s">
        <v>161</v>
      </c>
      <c r="J29" s="229">
        <v>43</v>
      </c>
      <c r="K29" s="233">
        <v>21.5</v>
      </c>
      <c r="L29" s="111"/>
      <c r="M29" s="110"/>
      <c r="N29" s="118"/>
      <c r="O29" s="132" t="s">
        <v>162</v>
      </c>
      <c r="P29" s="135" t="s">
        <v>163</v>
      </c>
      <c r="Q29" s="230">
        <v>57</v>
      </c>
      <c r="R29" s="226">
        <f>Q29/2</f>
        <v>28.5</v>
      </c>
      <c r="S29" s="134"/>
      <c r="T29" s="133"/>
    </row>
    <row r="30" spans="1:20" ht="9.9499999999999993" customHeight="1">
      <c r="A30" s="115" t="s">
        <v>164</v>
      </c>
      <c r="B30" s="116" t="s">
        <v>165</v>
      </c>
      <c r="C30" s="229">
        <v>22</v>
      </c>
      <c r="D30" s="236">
        <f t="shared" ref="D30:D41" si="7">C30/2</f>
        <v>11</v>
      </c>
      <c r="E30" s="111"/>
      <c r="F30" s="110"/>
      <c r="H30" s="132" t="s">
        <v>166</v>
      </c>
      <c r="I30" s="135" t="s">
        <v>167</v>
      </c>
      <c r="J30" s="230">
        <v>66</v>
      </c>
      <c r="K30" s="226">
        <f>J30/2</f>
        <v>33</v>
      </c>
      <c r="L30" s="134"/>
      <c r="M30" s="133"/>
      <c r="N30" s="118"/>
      <c r="O30" s="153" t="s">
        <v>168</v>
      </c>
      <c r="P30" s="147" t="s">
        <v>169</v>
      </c>
      <c r="Q30" s="242">
        <v>29</v>
      </c>
      <c r="R30" s="241">
        <v>14.5</v>
      </c>
      <c r="S30" s="155"/>
      <c r="T30" s="154"/>
    </row>
    <row r="31" spans="1:20">
      <c r="A31" s="132" t="s">
        <v>170</v>
      </c>
      <c r="B31" s="135" t="s">
        <v>171</v>
      </c>
      <c r="C31" s="230">
        <v>43</v>
      </c>
      <c r="D31" s="237">
        <f t="shared" si="7"/>
        <v>21.5</v>
      </c>
      <c r="E31" s="134"/>
      <c r="F31" s="133"/>
      <c r="H31" s="115" t="s">
        <v>172</v>
      </c>
      <c r="I31" s="116" t="s">
        <v>173</v>
      </c>
      <c r="J31" s="229">
        <v>22</v>
      </c>
      <c r="K31" s="233">
        <f>J31/2</f>
        <v>11</v>
      </c>
      <c r="L31" s="111"/>
      <c r="M31" s="110"/>
      <c r="N31" s="118"/>
      <c r="O31" s="132" t="s">
        <v>174</v>
      </c>
      <c r="P31" s="135" t="s">
        <v>175</v>
      </c>
      <c r="Q31" s="230">
        <v>57</v>
      </c>
      <c r="R31" s="226">
        <f>Q31/2</f>
        <v>28.5</v>
      </c>
      <c r="S31" s="134"/>
      <c r="T31" s="133"/>
    </row>
    <row r="32" spans="1:20">
      <c r="A32" s="115" t="s">
        <v>176</v>
      </c>
      <c r="B32" s="116" t="s">
        <v>177</v>
      </c>
      <c r="C32" s="229">
        <v>66</v>
      </c>
      <c r="D32" s="236">
        <f t="shared" si="7"/>
        <v>33</v>
      </c>
      <c r="E32" s="111"/>
      <c r="F32" s="110"/>
      <c r="H32" s="132" t="s">
        <v>178</v>
      </c>
      <c r="I32" s="135" t="s">
        <v>179</v>
      </c>
      <c r="J32" s="230">
        <v>43</v>
      </c>
      <c r="K32" s="226">
        <v>21.5</v>
      </c>
      <c r="L32" s="134"/>
      <c r="M32" s="133"/>
      <c r="N32" s="118"/>
      <c r="O32" s="153" t="s">
        <v>180</v>
      </c>
      <c r="P32" s="147" t="s">
        <v>181</v>
      </c>
      <c r="Q32" s="242">
        <v>29</v>
      </c>
      <c r="R32" s="241">
        <v>14.5</v>
      </c>
      <c r="S32" s="155"/>
      <c r="T32" s="154"/>
    </row>
    <row r="33" spans="1:20" ht="9.9499999999999993" customHeight="1">
      <c r="A33" s="132" t="s">
        <v>182</v>
      </c>
      <c r="B33" s="135" t="s">
        <v>183</v>
      </c>
      <c r="C33" s="230">
        <v>22</v>
      </c>
      <c r="D33" s="237">
        <f t="shared" si="7"/>
        <v>11</v>
      </c>
      <c r="E33" s="134"/>
      <c r="F33" s="133"/>
      <c r="H33" s="115" t="s">
        <v>184</v>
      </c>
      <c r="I33" s="116" t="s">
        <v>185</v>
      </c>
      <c r="J33" s="229">
        <v>66</v>
      </c>
      <c r="K33" s="233">
        <f>J33/2</f>
        <v>33</v>
      </c>
      <c r="L33" s="111"/>
      <c r="M33" s="110"/>
      <c r="N33" s="118"/>
      <c r="O33" s="132" t="s">
        <v>186</v>
      </c>
      <c r="P33" s="135" t="s">
        <v>187</v>
      </c>
      <c r="Q33" s="230">
        <v>49</v>
      </c>
      <c r="R33" s="226">
        <f t="shared" ref="R33" si="8">Q33/2</f>
        <v>24.5</v>
      </c>
      <c r="S33" s="134"/>
      <c r="T33" s="133"/>
    </row>
    <row r="34" spans="1:20" ht="9.9499999999999993" customHeight="1">
      <c r="A34" s="115" t="s">
        <v>188</v>
      </c>
      <c r="B34" s="116" t="s">
        <v>189</v>
      </c>
      <c r="C34" s="229">
        <v>43</v>
      </c>
      <c r="D34" s="236">
        <f t="shared" si="7"/>
        <v>21.5</v>
      </c>
      <c r="E34" s="111"/>
      <c r="F34" s="110"/>
      <c r="H34" s="130" t="s">
        <v>190</v>
      </c>
      <c r="I34" s="130" t="s">
        <v>20</v>
      </c>
      <c r="J34" s="228" t="s">
        <v>21</v>
      </c>
      <c r="K34" s="225" t="s">
        <v>22</v>
      </c>
      <c r="L34" s="131" t="s">
        <v>23</v>
      </c>
      <c r="M34" s="131" t="s">
        <v>24</v>
      </c>
      <c r="N34" s="118"/>
      <c r="O34" s="153" t="s">
        <v>191</v>
      </c>
      <c r="P34" s="147" t="s">
        <v>192</v>
      </c>
      <c r="Q34" s="242">
        <v>29</v>
      </c>
      <c r="R34" s="241">
        <v>14.5</v>
      </c>
      <c r="S34" s="155"/>
      <c r="T34" s="154"/>
    </row>
    <row r="35" spans="1:20">
      <c r="A35" s="132" t="s">
        <v>193</v>
      </c>
      <c r="B35" s="135" t="s">
        <v>194</v>
      </c>
      <c r="C35" s="230">
        <v>66</v>
      </c>
      <c r="D35" s="237">
        <f t="shared" si="7"/>
        <v>33</v>
      </c>
      <c r="E35" s="134"/>
      <c r="F35" s="133"/>
      <c r="H35" s="115" t="s">
        <v>195</v>
      </c>
      <c r="I35" s="116" t="s">
        <v>196</v>
      </c>
      <c r="J35" s="229">
        <v>34</v>
      </c>
      <c r="K35" s="233">
        <f>J35/2</f>
        <v>17</v>
      </c>
      <c r="L35" s="111"/>
      <c r="M35" s="110"/>
      <c r="N35" s="118"/>
      <c r="O35" s="132" t="s">
        <v>197</v>
      </c>
      <c r="P35" s="135" t="s">
        <v>198</v>
      </c>
      <c r="Q35" s="230">
        <v>57</v>
      </c>
      <c r="R35" s="226">
        <f>Q35/2</f>
        <v>28.5</v>
      </c>
      <c r="S35" s="134"/>
      <c r="T35" s="133"/>
    </row>
    <row r="36" spans="1:20" ht="9.9499999999999993" customHeight="1">
      <c r="A36" s="115" t="s">
        <v>199</v>
      </c>
      <c r="B36" s="116" t="s">
        <v>200</v>
      </c>
      <c r="C36" s="229">
        <v>22</v>
      </c>
      <c r="D36" s="236">
        <f t="shared" si="7"/>
        <v>11</v>
      </c>
      <c r="E36" s="111"/>
      <c r="F36" s="110"/>
      <c r="H36" s="148" t="s">
        <v>201</v>
      </c>
      <c r="I36" s="135" t="s">
        <v>202</v>
      </c>
      <c r="J36" s="230">
        <v>34</v>
      </c>
      <c r="K36" s="226">
        <f>J36/2</f>
        <v>17</v>
      </c>
      <c r="L36" s="134"/>
      <c r="M36" s="133"/>
      <c r="N36" s="118"/>
      <c r="O36" s="153" t="s">
        <v>203</v>
      </c>
      <c r="P36" s="147" t="s">
        <v>204</v>
      </c>
      <c r="Q36" s="242">
        <v>29</v>
      </c>
      <c r="R36" s="241">
        <v>14.5</v>
      </c>
      <c r="S36" s="155"/>
      <c r="T36" s="154"/>
    </row>
    <row r="37" spans="1:20">
      <c r="A37" s="132" t="s">
        <v>205</v>
      </c>
      <c r="B37" s="135" t="s">
        <v>206</v>
      </c>
      <c r="C37" s="230">
        <v>43</v>
      </c>
      <c r="D37" s="237">
        <f t="shared" si="7"/>
        <v>21.5</v>
      </c>
      <c r="E37" s="134"/>
      <c r="F37" s="133"/>
      <c r="H37" s="115" t="s">
        <v>207</v>
      </c>
      <c r="I37" s="116" t="s">
        <v>208</v>
      </c>
      <c r="J37" s="229">
        <v>34</v>
      </c>
      <c r="K37" s="233">
        <f>J37/2</f>
        <v>17</v>
      </c>
      <c r="L37" s="111"/>
      <c r="M37" s="110"/>
      <c r="N37" s="118"/>
      <c r="O37" s="132" t="s">
        <v>209</v>
      </c>
      <c r="P37" s="135" t="s">
        <v>210</v>
      </c>
      <c r="Q37" s="230">
        <v>57</v>
      </c>
      <c r="R37" s="226">
        <f>Q37/2</f>
        <v>28.5</v>
      </c>
      <c r="S37" s="134"/>
      <c r="T37" s="133"/>
    </row>
    <row r="38" spans="1:20">
      <c r="A38" s="115" t="s">
        <v>211</v>
      </c>
      <c r="B38" s="116" t="s">
        <v>212</v>
      </c>
      <c r="C38" s="229">
        <v>66</v>
      </c>
      <c r="D38" s="236">
        <f t="shared" si="7"/>
        <v>33</v>
      </c>
      <c r="E38" s="111"/>
      <c r="F38" s="110"/>
      <c r="H38" s="132" t="s">
        <v>213</v>
      </c>
      <c r="I38" s="135" t="s">
        <v>214</v>
      </c>
      <c r="J38" s="230">
        <v>34</v>
      </c>
      <c r="K38" s="226">
        <f>J38/2</f>
        <v>17</v>
      </c>
      <c r="L38" s="134"/>
      <c r="M38" s="133"/>
      <c r="N38" s="118"/>
      <c r="O38" s="153" t="s">
        <v>215</v>
      </c>
      <c r="P38" s="147" t="s">
        <v>216</v>
      </c>
      <c r="Q38" s="242">
        <v>29</v>
      </c>
      <c r="R38" s="241">
        <v>14.5</v>
      </c>
      <c r="S38" s="155"/>
      <c r="T38" s="154"/>
    </row>
    <row r="39" spans="1:20" ht="9.9499999999999993" customHeight="1">
      <c r="A39" s="132" t="s">
        <v>217</v>
      </c>
      <c r="B39" s="135" t="s">
        <v>218</v>
      </c>
      <c r="C39" s="230">
        <v>22</v>
      </c>
      <c r="D39" s="237">
        <f t="shared" si="7"/>
        <v>11</v>
      </c>
      <c r="E39" s="134"/>
      <c r="F39" s="133"/>
      <c r="H39" s="130" t="s">
        <v>219</v>
      </c>
      <c r="I39" s="130" t="s">
        <v>20</v>
      </c>
      <c r="J39" s="228" t="s">
        <v>21</v>
      </c>
      <c r="K39" s="225" t="s">
        <v>22</v>
      </c>
      <c r="L39" s="131" t="s">
        <v>23</v>
      </c>
      <c r="M39" s="131" t="s">
        <v>24</v>
      </c>
      <c r="N39" s="118"/>
      <c r="O39" s="132" t="s">
        <v>220</v>
      </c>
      <c r="P39" s="135" t="s">
        <v>221</v>
      </c>
      <c r="Q39" s="230">
        <v>57</v>
      </c>
      <c r="R39" s="226">
        <f>Q39/2</f>
        <v>28.5</v>
      </c>
      <c r="S39" s="134"/>
      <c r="T39" s="133"/>
    </row>
    <row r="40" spans="1:20">
      <c r="A40" s="115" t="s">
        <v>222</v>
      </c>
      <c r="B40" s="116" t="s">
        <v>223</v>
      </c>
      <c r="C40" s="229">
        <v>43</v>
      </c>
      <c r="D40" s="236">
        <f t="shared" si="7"/>
        <v>21.5</v>
      </c>
      <c r="E40" s="111"/>
      <c r="F40" s="110"/>
      <c r="H40" s="115" t="s">
        <v>224</v>
      </c>
      <c r="I40" s="116" t="s">
        <v>225</v>
      </c>
      <c r="J40" s="229">
        <v>34</v>
      </c>
      <c r="K40" s="233">
        <f>J40/2</f>
        <v>17</v>
      </c>
      <c r="L40" s="111"/>
      <c r="M40" s="110"/>
      <c r="O40" s="153" t="s">
        <v>226</v>
      </c>
      <c r="P40" s="147" t="s">
        <v>227</v>
      </c>
      <c r="Q40" s="242">
        <v>29</v>
      </c>
      <c r="R40" s="241">
        <v>14.5</v>
      </c>
      <c r="S40" s="155"/>
      <c r="T40" s="154"/>
    </row>
    <row r="41" spans="1:20">
      <c r="A41" s="132" t="s">
        <v>228</v>
      </c>
      <c r="B41" s="135" t="s">
        <v>229</v>
      </c>
      <c r="C41" s="230">
        <v>66</v>
      </c>
      <c r="D41" s="237">
        <f t="shared" si="7"/>
        <v>33</v>
      </c>
      <c r="E41" s="134"/>
      <c r="F41" s="133"/>
      <c r="H41" s="132" t="s">
        <v>230</v>
      </c>
      <c r="I41" s="135" t="s">
        <v>231</v>
      </c>
      <c r="J41" s="230">
        <v>34</v>
      </c>
      <c r="K41" s="226">
        <f>J41/2</f>
        <v>17</v>
      </c>
      <c r="L41" s="134"/>
      <c r="M41" s="133"/>
      <c r="O41" s="132" t="s">
        <v>232</v>
      </c>
      <c r="P41" s="135" t="s">
        <v>233</v>
      </c>
      <c r="Q41" s="230">
        <v>57</v>
      </c>
      <c r="R41" s="226">
        <f>Q41/2</f>
        <v>28.5</v>
      </c>
      <c r="S41" s="134"/>
      <c r="T41" s="133"/>
    </row>
    <row r="42" spans="1:20" ht="17.25" customHeight="1">
      <c r="A42" s="149" t="s">
        <v>234</v>
      </c>
      <c r="B42" s="116" t="s">
        <v>235</v>
      </c>
      <c r="C42" s="229">
        <v>22</v>
      </c>
      <c r="D42" s="236">
        <f t="shared" ref="D42:D47" si="9">C42/2</f>
        <v>11</v>
      </c>
      <c r="E42" s="111"/>
      <c r="F42" s="110"/>
      <c r="H42" s="115" t="s">
        <v>236</v>
      </c>
      <c r="I42" s="116" t="s">
        <v>237</v>
      </c>
      <c r="J42" s="229">
        <v>34</v>
      </c>
      <c r="K42" s="233">
        <f>J42/2</f>
        <v>17</v>
      </c>
      <c r="L42" s="111"/>
      <c r="M42" s="110"/>
      <c r="O42" s="153" t="s">
        <v>238</v>
      </c>
      <c r="P42" s="147" t="s">
        <v>239</v>
      </c>
      <c r="Q42" s="242">
        <v>29</v>
      </c>
      <c r="R42" s="241">
        <v>14.5</v>
      </c>
      <c r="S42" s="155"/>
      <c r="T42" s="154"/>
    </row>
    <row r="43" spans="1:20" ht="9.9499999999999993" customHeight="1">
      <c r="A43" s="148" t="s">
        <v>240</v>
      </c>
      <c r="B43" s="135" t="s">
        <v>241</v>
      </c>
      <c r="C43" s="230">
        <v>43</v>
      </c>
      <c r="D43" s="237">
        <f t="shared" si="9"/>
        <v>21.5</v>
      </c>
      <c r="E43" s="134"/>
      <c r="F43" s="133"/>
      <c r="H43" s="132" t="s">
        <v>242</v>
      </c>
      <c r="I43" s="135" t="s">
        <v>243</v>
      </c>
      <c r="J43" s="230">
        <v>34</v>
      </c>
      <c r="K43" s="226">
        <f>J43/2</f>
        <v>17</v>
      </c>
      <c r="L43" s="134"/>
      <c r="M43" s="133"/>
      <c r="O43" s="132" t="s">
        <v>244</v>
      </c>
      <c r="P43" s="135" t="s">
        <v>245</v>
      </c>
      <c r="Q43" s="230">
        <v>49</v>
      </c>
      <c r="R43" s="226">
        <f t="shared" ref="R43" si="10">Q43/2</f>
        <v>24.5</v>
      </c>
      <c r="S43" s="134"/>
      <c r="T43" s="133"/>
    </row>
    <row r="44" spans="1:20">
      <c r="A44" s="115" t="s">
        <v>246</v>
      </c>
      <c r="B44" s="116" t="s">
        <v>247</v>
      </c>
      <c r="C44" s="229">
        <v>22</v>
      </c>
      <c r="D44" s="236">
        <f t="shared" si="9"/>
        <v>11</v>
      </c>
      <c r="E44" s="111"/>
      <c r="F44" s="110"/>
      <c r="H44" s="130" t="s">
        <v>248</v>
      </c>
      <c r="I44" s="130" t="s">
        <v>20</v>
      </c>
      <c r="J44" s="228" t="s">
        <v>21</v>
      </c>
      <c r="K44" s="225" t="s">
        <v>22</v>
      </c>
      <c r="L44" s="131" t="s">
        <v>23</v>
      </c>
      <c r="M44" s="131" t="s">
        <v>24</v>
      </c>
      <c r="O44" s="153" t="s">
        <v>249</v>
      </c>
      <c r="P44" s="147" t="s">
        <v>250</v>
      </c>
      <c r="Q44" s="242">
        <v>29</v>
      </c>
      <c r="R44" s="241">
        <v>14.5</v>
      </c>
      <c r="S44" s="155"/>
      <c r="T44" s="154"/>
    </row>
    <row r="45" spans="1:20">
      <c r="A45" s="132" t="s">
        <v>251</v>
      </c>
      <c r="B45" s="135" t="s">
        <v>252</v>
      </c>
      <c r="C45" s="230">
        <v>43</v>
      </c>
      <c r="D45" s="237">
        <f t="shared" si="9"/>
        <v>21.5</v>
      </c>
      <c r="E45" s="134"/>
      <c r="F45" s="133"/>
      <c r="H45" s="116" t="s">
        <v>253</v>
      </c>
      <c r="I45" s="116" t="s">
        <v>254</v>
      </c>
      <c r="J45" s="229">
        <v>41</v>
      </c>
      <c r="K45" s="233">
        <v>20.5</v>
      </c>
      <c r="L45" s="111"/>
      <c r="M45" s="110"/>
      <c r="N45" s="119"/>
      <c r="O45" s="132" t="s">
        <v>255</v>
      </c>
      <c r="P45" s="135" t="s">
        <v>256</v>
      </c>
      <c r="Q45" s="230">
        <v>57</v>
      </c>
      <c r="R45" s="226">
        <f>Q45/2</f>
        <v>28.5</v>
      </c>
      <c r="S45" s="134"/>
      <c r="T45" s="133"/>
    </row>
    <row r="46" spans="1:20" ht="9.9499999999999993" customHeight="1">
      <c r="A46" s="115" t="s">
        <v>257</v>
      </c>
      <c r="B46" s="116" t="s">
        <v>258</v>
      </c>
      <c r="C46" s="229">
        <v>22</v>
      </c>
      <c r="D46" s="236">
        <f t="shared" si="9"/>
        <v>11</v>
      </c>
      <c r="E46" s="111"/>
      <c r="F46" s="110"/>
      <c r="H46" s="135" t="s">
        <v>259</v>
      </c>
      <c r="I46" s="135" t="s">
        <v>260</v>
      </c>
      <c r="J46" s="230">
        <v>15</v>
      </c>
      <c r="K46" s="226">
        <v>7.5</v>
      </c>
      <c r="L46" s="134"/>
      <c r="M46" s="133"/>
      <c r="O46" s="153" t="s">
        <v>261</v>
      </c>
      <c r="P46" s="147" t="s">
        <v>262</v>
      </c>
      <c r="Q46" s="242">
        <v>29</v>
      </c>
      <c r="R46" s="241">
        <v>14.5</v>
      </c>
      <c r="S46" s="155"/>
      <c r="T46" s="154"/>
    </row>
    <row r="47" spans="1:20" s="119" customFormat="1">
      <c r="A47" s="132" t="s">
        <v>263</v>
      </c>
      <c r="B47" s="135" t="s">
        <v>264</v>
      </c>
      <c r="C47" s="230">
        <v>43</v>
      </c>
      <c r="D47" s="237">
        <f t="shared" si="9"/>
        <v>21.5</v>
      </c>
      <c r="E47" s="134"/>
      <c r="F47" s="133"/>
      <c r="H47" s="116" t="s">
        <v>265</v>
      </c>
      <c r="I47" s="116" t="s">
        <v>266</v>
      </c>
      <c r="J47" s="229">
        <v>15</v>
      </c>
      <c r="K47" s="233">
        <v>7.5</v>
      </c>
      <c r="L47" s="111"/>
      <c r="M47" s="110"/>
      <c r="N47" s="120"/>
      <c r="O47" s="132" t="s">
        <v>267</v>
      </c>
      <c r="P47" s="135" t="s">
        <v>268</v>
      </c>
      <c r="Q47" s="230">
        <v>29</v>
      </c>
      <c r="R47" s="226">
        <f>Q47/2</f>
        <v>14.5</v>
      </c>
      <c r="S47" s="134"/>
      <c r="T47" s="133"/>
    </row>
    <row r="48" spans="1:20">
      <c r="H48" s="135" t="s">
        <v>269</v>
      </c>
      <c r="I48" s="135" t="s">
        <v>270</v>
      </c>
      <c r="J48" s="230">
        <v>15</v>
      </c>
      <c r="K48" s="226">
        <v>7.5</v>
      </c>
      <c r="L48" s="134"/>
      <c r="M48" s="133"/>
      <c r="O48" s="153" t="s">
        <v>271</v>
      </c>
      <c r="P48" s="147" t="s">
        <v>272</v>
      </c>
      <c r="Q48" s="242">
        <v>75</v>
      </c>
      <c r="R48" s="241">
        <f>Q48/2</f>
        <v>37.5</v>
      </c>
      <c r="S48" s="155"/>
      <c r="T48" s="154"/>
    </row>
    <row r="49" spans="8:13" ht="9.9499999999999993" customHeight="1"/>
    <row r="52" spans="8:13">
      <c r="H52" s="119"/>
      <c r="I52" s="119"/>
      <c r="J52" s="240"/>
      <c r="K52" s="239"/>
      <c r="L52" s="119"/>
      <c r="M52" s="119"/>
    </row>
  </sheetData>
  <mergeCells count="14">
    <mergeCell ref="A1:B1"/>
    <mergeCell ref="C1:G1"/>
    <mergeCell ref="P1:T1"/>
    <mergeCell ref="I1:M1"/>
    <mergeCell ref="I2:M2"/>
    <mergeCell ref="O2:T2"/>
    <mergeCell ref="A5:F5"/>
    <mergeCell ref="O5:T5"/>
    <mergeCell ref="A2:F2"/>
    <mergeCell ref="A4:F4"/>
    <mergeCell ref="I4:M4"/>
    <mergeCell ref="O3:T3"/>
    <mergeCell ref="O4:T4"/>
    <mergeCell ref="I3:M3"/>
  </mergeCells>
  <printOptions horizontalCentered="1" verticalCentered="1"/>
  <pageMargins left="0.7" right="0.7" top="0.75" bottom="0.75" header="0.3" footer="0.3"/>
  <pageSetup paperSize="3" scale="79" fitToHeight="2" orientation="landscape" r:id="rId1"/>
  <headerFooter>
    <oddHeader>&amp;C&amp;"Goudy Old Style Bold,Bold"&amp;14&amp;K000000Adirondack Fragrance Farm Wholesale Order Form (1/2)&amp;R&amp;"Goudy Old Style Italic,Italic"&amp;K000000Version: 2025v.1</oddHeader>
    <oddFooter>&amp;L&amp;"Goudy Old Style Italic,Italic"&amp;K0000001551 State Highway 72, Potsdam, NY 13676 | 315-265-1776&amp;C&amp;"Goudy Old Style,Regular"&amp;K000000&amp;P&amp;R&amp;"Goudy,Regular"Elisabeth@adkfragrancefarm.com</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DFA1-41C4-6142-8FE3-B76EA5FA1781}">
  <sheetPr>
    <pageSetUpPr fitToPage="1"/>
  </sheetPr>
  <dimension ref="A1:T157"/>
  <sheetViews>
    <sheetView tabSelected="1" view="pageBreakPreview" topLeftCell="D1" zoomScale="180" zoomScaleNormal="200" zoomScaleSheetLayoutView="180" workbookViewId="0">
      <selection activeCell="O8" sqref="O8:U10"/>
    </sheetView>
  </sheetViews>
  <sheetFormatPr defaultColWidth="15.85546875" defaultRowHeight="9"/>
  <cols>
    <col min="1" max="1" width="29.85546875" style="120" customWidth="1"/>
    <col min="2" max="2" width="10.5703125" style="120" customWidth="1"/>
    <col min="3" max="3" width="3.42578125" style="201" customWidth="1"/>
    <col min="4" max="4" width="4.140625" style="191" customWidth="1"/>
    <col min="5" max="5" width="3.42578125" style="112" customWidth="1"/>
    <col min="6" max="6" width="3.42578125" style="118" customWidth="1"/>
    <col min="7" max="7" width="1.85546875" style="117" customWidth="1"/>
    <col min="8" max="8" width="27.28515625" style="120" bestFit="1" customWidth="1"/>
    <col min="9" max="9" width="12.7109375" style="120" customWidth="1"/>
    <col min="10" max="10" width="3.7109375" style="201" customWidth="1"/>
    <col min="11" max="11" width="4.28515625" style="194" bestFit="1" customWidth="1"/>
    <col min="12" max="13" width="3.42578125" style="120" customWidth="1"/>
    <col min="14" max="14" width="1.5703125" style="120" customWidth="1"/>
    <col min="15" max="15" width="16.140625" style="120" customWidth="1"/>
    <col min="16" max="16" width="10.85546875" style="120" customWidth="1"/>
    <col min="17" max="17" width="3.42578125" style="201" customWidth="1"/>
    <col min="18" max="18" width="4.140625" style="194" bestFit="1" customWidth="1"/>
    <col min="19" max="20" width="3" style="120" customWidth="1"/>
    <col min="21" max="16384" width="15.85546875" style="120"/>
  </cols>
  <sheetData>
    <row r="1" spans="1:20" s="117" customFormat="1">
      <c r="A1" s="130" t="s">
        <v>273</v>
      </c>
      <c r="B1" s="130" t="s">
        <v>20</v>
      </c>
      <c r="C1" s="195" t="s">
        <v>21</v>
      </c>
      <c r="D1" s="188" t="s">
        <v>22</v>
      </c>
      <c r="E1" s="131" t="s">
        <v>23</v>
      </c>
      <c r="F1" s="131" t="s">
        <v>24</v>
      </c>
      <c r="H1" s="130" t="s">
        <v>273</v>
      </c>
      <c r="I1" s="130" t="s">
        <v>20</v>
      </c>
      <c r="J1" s="195" t="s">
        <v>21</v>
      </c>
      <c r="K1" s="188" t="s">
        <v>22</v>
      </c>
      <c r="L1" s="131" t="s">
        <v>23</v>
      </c>
      <c r="M1" s="131" t="s">
        <v>24</v>
      </c>
      <c r="O1" s="130" t="s">
        <v>274</v>
      </c>
      <c r="P1" s="130" t="s">
        <v>20</v>
      </c>
      <c r="Q1" s="195" t="s">
        <v>21</v>
      </c>
      <c r="R1" s="188" t="s">
        <v>22</v>
      </c>
      <c r="S1" s="131" t="s">
        <v>23</v>
      </c>
      <c r="T1" s="131" t="s">
        <v>24</v>
      </c>
    </row>
    <row r="2" spans="1:20" s="117" customFormat="1">
      <c r="A2" s="115" t="s">
        <v>275</v>
      </c>
      <c r="B2" s="116" t="s">
        <v>276</v>
      </c>
      <c r="C2" s="196">
        <v>4</v>
      </c>
      <c r="D2" s="189">
        <f>C2/2</f>
        <v>2</v>
      </c>
      <c r="E2" s="111"/>
      <c r="F2" s="110"/>
      <c r="G2" s="140"/>
      <c r="H2" s="115" t="s">
        <v>277</v>
      </c>
      <c r="I2" s="116" t="s">
        <v>278</v>
      </c>
      <c r="J2" s="196">
        <v>4</v>
      </c>
      <c r="K2" s="189">
        <f t="shared" ref="K2:K11" si="0">J2/2</f>
        <v>2</v>
      </c>
      <c r="L2" s="111"/>
      <c r="M2" s="110"/>
      <c r="O2" s="149" t="s">
        <v>279</v>
      </c>
      <c r="P2" s="149" t="s">
        <v>280</v>
      </c>
      <c r="Q2" s="221">
        <v>16</v>
      </c>
      <c r="R2" s="217">
        <v>8</v>
      </c>
      <c r="S2" s="149"/>
      <c r="T2" s="110"/>
    </row>
    <row r="3" spans="1:20" s="117" customFormat="1">
      <c r="A3" s="132" t="s">
        <v>281</v>
      </c>
      <c r="B3" s="135" t="s">
        <v>282</v>
      </c>
      <c r="C3" s="197">
        <v>8</v>
      </c>
      <c r="D3" s="190">
        <v>3.5</v>
      </c>
      <c r="E3" s="134"/>
      <c r="F3" s="133"/>
      <c r="G3" s="140"/>
      <c r="H3" s="132" t="s">
        <v>283</v>
      </c>
      <c r="I3" s="135" t="s">
        <v>284</v>
      </c>
      <c r="J3" s="197">
        <v>10</v>
      </c>
      <c r="K3" s="190">
        <f t="shared" si="0"/>
        <v>5</v>
      </c>
      <c r="L3" s="134"/>
      <c r="M3" s="133"/>
      <c r="O3" s="148" t="s">
        <v>285</v>
      </c>
      <c r="P3" s="148" t="s">
        <v>286</v>
      </c>
      <c r="Q3" s="222">
        <v>25</v>
      </c>
      <c r="R3" s="218">
        <v>12.5</v>
      </c>
      <c r="S3" s="148"/>
      <c r="T3" s="133"/>
    </row>
    <row r="4" spans="1:20" s="117" customFormat="1">
      <c r="A4" s="115" t="s">
        <v>287</v>
      </c>
      <c r="B4" s="116" t="s">
        <v>288</v>
      </c>
      <c r="C4" s="196">
        <v>10</v>
      </c>
      <c r="D4" s="189">
        <f t="shared" ref="D4:D18" si="1">C4/2</f>
        <v>5</v>
      </c>
      <c r="E4" s="111"/>
      <c r="F4" s="110"/>
      <c r="G4" s="140"/>
      <c r="H4" s="115" t="s">
        <v>289</v>
      </c>
      <c r="I4" s="116" t="s">
        <v>290</v>
      </c>
      <c r="J4" s="196">
        <v>11</v>
      </c>
      <c r="K4" s="189">
        <f t="shared" si="0"/>
        <v>5.5</v>
      </c>
      <c r="L4" s="111"/>
      <c r="M4" s="110"/>
      <c r="O4" s="149" t="s">
        <v>291</v>
      </c>
      <c r="P4" s="179" t="s">
        <v>292</v>
      </c>
      <c r="Q4" s="221">
        <v>10</v>
      </c>
      <c r="R4" s="217">
        <v>5</v>
      </c>
      <c r="S4" s="149"/>
      <c r="T4" s="110"/>
    </row>
    <row r="5" spans="1:20" s="117" customFormat="1">
      <c r="A5" s="132" t="s">
        <v>293</v>
      </c>
      <c r="B5" s="135" t="s">
        <v>294</v>
      </c>
      <c r="C5" s="197">
        <v>11</v>
      </c>
      <c r="D5" s="190">
        <f t="shared" si="1"/>
        <v>5.5</v>
      </c>
      <c r="E5" s="134"/>
      <c r="F5" s="133"/>
      <c r="G5" s="140"/>
      <c r="H5" s="132" t="s">
        <v>295</v>
      </c>
      <c r="I5" s="135" t="s">
        <v>296</v>
      </c>
      <c r="J5" s="197">
        <v>37</v>
      </c>
      <c r="K5" s="190">
        <f t="shared" si="0"/>
        <v>18.5</v>
      </c>
      <c r="L5" s="134"/>
      <c r="M5" s="133"/>
      <c r="O5" s="148" t="s">
        <v>297</v>
      </c>
      <c r="P5" s="148" t="s">
        <v>298</v>
      </c>
      <c r="Q5" s="222">
        <v>23</v>
      </c>
      <c r="R5" s="218">
        <v>11.5</v>
      </c>
      <c r="S5" s="148"/>
      <c r="T5" s="133"/>
    </row>
    <row r="6" spans="1:20" s="117" customFormat="1">
      <c r="A6" s="115" t="s">
        <v>299</v>
      </c>
      <c r="B6" s="116" t="s">
        <v>300</v>
      </c>
      <c r="C6" s="196">
        <v>37</v>
      </c>
      <c r="D6" s="189">
        <f t="shared" si="1"/>
        <v>18.5</v>
      </c>
      <c r="E6" s="111"/>
      <c r="F6" s="110"/>
      <c r="H6" s="115" t="s">
        <v>301</v>
      </c>
      <c r="I6" s="116" t="s">
        <v>302</v>
      </c>
      <c r="J6" s="196">
        <v>52</v>
      </c>
      <c r="K6" s="189">
        <f t="shared" si="0"/>
        <v>26</v>
      </c>
      <c r="L6" s="111"/>
      <c r="M6" s="110"/>
      <c r="O6" s="156" t="s">
        <v>303</v>
      </c>
      <c r="P6" s="156" t="s">
        <v>304</v>
      </c>
      <c r="Q6" s="223">
        <v>14</v>
      </c>
      <c r="R6" s="219">
        <v>7</v>
      </c>
      <c r="S6" s="166"/>
      <c r="T6" s="167"/>
    </row>
    <row r="7" spans="1:20" s="117" customFormat="1">
      <c r="A7" s="132" t="s">
        <v>305</v>
      </c>
      <c r="B7" s="135" t="s">
        <v>306</v>
      </c>
      <c r="C7" s="197">
        <v>52</v>
      </c>
      <c r="D7" s="190">
        <f t="shared" si="1"/>
        <v>26</v>
      </c>
      <c r="E7" s="134"/>
      <c r="F7" s="133"/>
      <c r="G7" s="139"/>
      <c r="H7" s="132" t="s">
        <v>307</v>
      </c>
      <c r="I7" s="135" t="s">
        <v>308</v>
      </c>
      <c r="J7" s="197">
        <v>4</v>
      </c>
      <c r="K7" s="190">
        <f t="shared" si="0"/>
        <v>2</v>
      </c>
      <c r="L7" s="134"/>
      <c r="M7" s="133"/>
      <c r="O7" s="148" t="s">
        <v>309</v>
      </c>
      <c r="P7" s="148" t="s">
        <v>310</v>
      </c>
      <c r="Q7" s="222">
        <v>20</v>
      </c>
      <c r="R7" s="220">
        <f>Q7/2</f>
        <v>10</v>
      </c>
      <c r="S7" s="168"/>
      <c r="T7" s="169"/>
    </row>
    <row r="8" spans="1:20" s="117" customFormat="1">
      <c r="A8" s="115" t="s">
        <v>311</v>
      </c>
      <c r="B8" s="116" t="s">
        <v>312</v>
      </c>
      <c r="C8" s="196">
        <v>4</v>
      </c>
      <c r="D8" s="189">
        <f t="shared" si="1"/>
        <v>2</v>
      </c>
      <c r="E8" s="111"/>
      <c r="F8" s="110"/>
      <c r="H8" s="115" t="s">
        <v>313</v>
      </c>
      <c r="I8" s="116" t="s">
        <v>314</v>
      </c>
      <c r="J8" s="196">
        <v>10</v>
      </c>
      <c r="K8" s="189">
        <f t="shared" si="0"/>
        <v>5</v>
      </c>
      <c r="L8" s="111"/>
      <c r="M8" s="110"/>
      <c r="O8" s="258" t="s">
        <v>315</v>
      </c>
      <c r="P8" s="258" t="s">
        <v>316</v>
      </c>
      <c r="Q8" s="259">
        <v>14</v>
      </c>
      <c r="R8" s="262">
        <f>Q8/2</f>
        <v>7</v>
      </c>
      <c r="S8" s="266"/>
      <c r="T8" s="268"/>
    </row>
    <row r="9" spans="1:20" s="112" customFormat="1">
      <c r="A9" s="132" t="s">
        <v>317</v>
      </c>
      <c r="B9" s="135" t="s">
        <v>318</v>
      </c>
      <c r="C9" s="197">
        <v>10</v>
      </c>
      <c r="D9" s="190">
        <f t="shared" si="1"/>
        <v>5</v>
      </c>
      <c r="E9" s="134"/>
      <c r="F9" s="133"/>
      <c r="G9" s="139"/>
      <c r="H9" s="132" t="s">
        <v>319</v>
      </c>
      <c r="I9" s="135" t="s">
        <v>320</v>
      </c>
      <c r="J9" s="197">
        <v>11</v>
      </c>
      <c r="K9" s="190">
        <f t="shared" si="0"/>
        <v>5.5</v>
      </c>
      <c r="L9" s="134"/>
      <c r="M9" s="133"/>
      <c r="O9" s="258"/>
      <c r="P9" s="258"/>
      <c r="Q9" s="259"/>
      <c r="R9" s="262"/>
      <c r="S9" s="258"/>
      <c r="T9" s="265"/>
    </row>
    <row r="10" spans="1:20" s="112" customFormat="1">
      <c r="A10" s="115" t="s">
        <v>321</v>
      </c>
      <c r="B10" s="116" t="s">
        <v>322</v>
      </c>
      <c r="C10" s="196">
        <v>11</v>
      </c>
      <c r="D10" s="189">
        <f t="shared" si="1"/>
        <v>5.5</v>
      </c>
      <c r="E10" s="111"/>
      <c r="F10" s="110"/>
      <c r="G10" s="117"/>
      <c r="H10" s="115" t="s">
        <v>323</v>
      </c>
      <c r="I10" s="116" t="s">
        <v>324</v>
      </c>
      <c r="J10" s="196">
        <v>37</v>
      </c>
      <c r="K10" s="189">
        <f t="shared" si="0"/>
        <v>18.5</v>
      </c>
      <c r="L10" s="111"/>
      <c r="M10" s="110"/>
      <c r="O10" s="258"/>
      <c r="P10" s="258"/>
      <c r="Q10" s="259"/>
      <c r="R10" s="262"/>
      <c r="S10" s="258"/>
      <c r="T10" s="265"/>
    </row>
    <row r="11" spans="1:20" s="112" customFormat="1">
      <c r="A11" s="132" t="s">
        <v>325</v>
      </c>
      <c r="B11" s="178" t="s">
        <v>326</v>
      </c>
      <c r="C11" s="197">
        <v>37</v>
      </c>
      <c r="D11" s="190">
        <f t="shared" si="1"/>
        <v>18.5</v>
      </c>
      <c r="E11" s="134"/>
      <c r="F11" s="133"/>
      <c r="G11" s="139"/>
      <c r="H11" s="138" t="s">
        <v>327</v>
      </c>
      <c r="I11" s="145" t="s">
        <v>328</v>
      </c>
      <c r="J11" s="197">
        <v>52</v>
      </c>
      <c r="K11" s="190">
        <f t="shared" si="0"/>
        <v>26</v>
      </c>
      <c r="L11" s="134"/>
      <c r="M11" s="133"/>
      <c r="O11" s="257" t="s">
        <v>329</v>
      </c>
      <c r="P11" s="257" t="s">
        <v>330</v>
      </c>
      <c r="Q11" s="260">
        <v>22</v>
      </c>
      <c r="R11" s="264">
        <f>Q11/2</f>
        <v>11</v>
      </c>
      <c r="S11" s="257"/>
      <c r="T11" s="267"/>
    </row>
    <row r="12" spans="1:20" s="112" customFormat="1">
      <c r="A12" s="115" t="s">
        <v>331</v>
      </c>
      <c r="B12" s="116" t="s">
        <v>332</v>
      </c>
      <c r="C12" s="196">
        <v>52</v>
      </c>
      <c r="D12" s="189">
        <f t="shared" si="1"/>
        <v>26</v>
      </c>
      <c r="E12" s="111"/>
      <c r="F12" s="110"/>
      <c r="G12" s="117"/>
      <c r="H12" s="142" t="s">
        <v>333</v>
      </c>
      <c r="I12" s="159" t="s">
        <v>334</v>
      </c>
      <c r="J12" s="208">
        <v>8</v>
      </c>
      <c r="K12" s="189">
        <v>4</v>
      </c>
      <c r="L12" s="111"/>
      <c r="M12" s="110"/>
      <c r="O12" s="257"/>
      <c r="P12" s="257"/>
      <c r="Q12" s="260"/>
      <c r="R12" s="264"/>
      <c r="S12" s="257"/>
      <c r="T12" s="267"/>
    </row>
    <row r="13" spans="1:20" s="112" customFormat="1">
      <c r="A13" s="132" t="s">
        <v>335</v>
      </c>
      <c r="B13" s="135" t="s">
        <v>336</v>
      </c>
      <c r="C13" s="197">
        <v>4</v>
      </c>
      <c r="D13" s="190">
        <f t="shared" si="1"/>
        <v>2</v>
      </c>
      <c r="E13" s="134"/>
      <c r="F13" s="133"/>
      <c r="G13" s="139"/>
      <c r="H13" s="165" t="s">
        <v>337</v>
      </c>
      <c r="I13" s="160" t="s">
        <v>338</v>
      </c>
      <c r="J13" s="209">
        <v>8</v>
      </c>
      <c r="K13" s="190">
        <v>4</v>
      </c>
      <c r="L13" s="134"/>
      <c r="M13" s="133"/>
      <c r="O13" s="257"/>
      <c r="P13" s="257"/>
      <c r="Q13" s="260"/>
      <c r="R13" s="264"/>
      <c r="S13" s="257"/>
      <c r="T13" s="267"/>
    </row>
    <row r="14" spans="1:20" s="112" customFormat="1">
      <c r="A14" s="115" t="s">
        <v>339</v>
      </c>
      <c r="B14" s="116" t="s">
        <v>340</v>
      </c>
      <c r="C14" s="196">
        <v>10</v>
      </c>
      <c r="D14" s="189">
        <f t="shared" ref="D14:D17" si="2">C14/2</f>
        <v>5</v>
      </c>
      <c r="E14" s="111"/>
      <c r="F14" s="110"/>
      <c r="G14" s="117"/>
      <c r="H14" s="146" t="s">
        <v>341</v>
      </c>
      <c r="I14" s="161" t="s">
        <v>342</v>
      </c>
      <c r="J14" s="210">
        <v>8</v>
      </c>
      <c r="K14" s="202">
        <v>4</v>
      </c>
      <c r="L14" s="147"/>
      <c r="M14" s="147"/>
      <c r="O14" s="258" t="s">
        <v>343</v>
      </c>
      <c r="P14" s="258" t="s">
        <v>344</v>
      </c>
      <c r="Q14" s="259">
        <v>43</v>
      </c>
      <c r="R14" s="262">
        <f>Q14/2</f>
        <v>21.5</v>
      </c>
      <c r="S14" s="258"/>
      <c r="T14" s="265"/>
    </row>
    <row r="15" spans="1:20" s="112" customFormat="1">
      <c r="A15" s="132" t="s">
        <v>345</v>
      </c>
      <c r="B15" s="135" t="s">
        <v>346</v>
      </c>
      <c r="C15" s="197">
        <v>11</v>
      </c>
      <c r="D15" s="190">
        <f t="shared" si="2"/>
        <v>5.5</v>
      </c>
      <c r="E15" s="134"/>
      <c r="F15" s="133"/>
      <c r="G15" s="117"/>
      <c r="H15" s="143" t="s">
        <v>347</v>
      </c>
      <c r="I15" s="162" t="s">
        <v>348</v>
      </c>
      <c r="J15" s="197">
        <v>8</v>
      </c>
      <c r="K15" s="190">
        <v>4</v>
      </c>
      <c r="L15" s="134"/>
      <c r="M15" s="133"/>
      <c r="O15" s="258"/>
      <c r="P15" s="258"/>
      <c r="Q15" s="259"/>
      <c r="R15" s="262"/>
      <c r="S15" s="258"/>
      <c r="T15" s="265"/>
    </row>
    <row r="16" spans="1:20" s="112" customFormat="1">
      <c r="A16" s="115" t="s">
        <v>349</v>
      </c>
      <c r="B16" s="116" t="s">
        <v>350</v>
      </c>
      <c r="C16" s="196">
        <v>37</v>
      </c>
      <c r="D16" s="189">
        <f t="shared" si="2"/>
        <v>18.5</v>
      </c>
      <c r="E16" s="111"/>
      <c r="F16" s="110"/>
      <c r="G16" s="117"/>
      <c r="H16" s="158" t="s">
        <v>351</v>
      </c>
      <c r="I16" s="163" t="s">
        <v>352</v>
      </c>
      <c r="J16" s="196">
        <v>41</v>
      </c>
      <c r="K16" s="189">
        <v>20.5</v>
      </c>
      <c r="L16" s="111"/>
      <c r="M16" s="110"/>
      <c r="O16" s="258"/>
      <c r="P16" s="258"/>
      <c r="Q16" s="259"/>
      <c r="R16" s="262"/>
      <c r="S16" s="258"/>
      <c r="T16" s="265"/>
    </row>
    <row r="17" spans="1:20" s="112" customFormat="1">
      <c r="A17" s="132" t="s">
        <v>353</v>
      </c>
      <c r="B17" s="135" t="s">
        <v>354</v>
      </c>
      <c r="C17" s="197">
        <v>52</v>
      </c>
      <c r="D17" s="190">
        <f t="shared" si="2"/>
        <v>26</v>
      </c>
      <c r="E17" s="134"/>
      <c r="F17" s="133"/>
      <c r="G17" s="139"/>
      <c r="H17" s="164" t="s">
        <v>355</v>
      </c>
      <c r="I17" s="130" t="s">
        <v>20</v>
      </c>
      <c r="J17" s="195" t="s">
        <v>21</v>
      </c>
      <c r="K17" s="188" t="s">
        <v>22</v>
      </c>
      <c r="L17" s="131" t="s">
        <v>23</v>
      </c>
      <c r="M17" s="131" t="s">
        <v>24</v>
      </c>
      <c r="O17" s="148" t="s">
        <v>356</v>
      </c>
      <c r="P17" s="180" t="s">
        <v>357</v>
      </c>
      <c r="Q17" s="222">
        <v>10</v>
      </c>
      <c r="R17" s="220">
        <v>5</v>
      </c>
      <c r="S17" s="168"/>
      <c r="T17" s="169"/>
    </row>
    <row r="18" spans="1:20" s="112" customFormat="1">
      <c r="A18" s="116" t="s">
        <v>358</v>
      </c>
      <c r="B18" s="116" t="s">
        <v>359</v>
      </c>
      <c r="C18" s="196">
        <v>4</v>
      </c>
      <c r="D18" s="189">
        <f t="shared" si="1"/>
        <v>2</v>
      </c>
      <c r="E18" s="111"/>
      <c r="F18" s="111"/>
      <c r="G18" s="117"/>
      <c r="H18" s="126" t="s">
        <v>360</v>
      </c>
      <c r="I18" s="116" t="s">
        <v>361</v>
      </c>
      <c r="J18" s="196">
        <v>11</v>
      </c>
      <c r="K18" s="189">
        <f>J18/2</f>
        <v>5.5</v>
      </c>
      <c r="L18" s="111"/>
      <c r="M18" s="110"/>
      <c r="O18" s="258" t="s">
        <v>362</v>
      </c>
      <c r="P18" s="258" t="s">
        <v>363</v>
      </c>
      <c r="Q18" s="259">
        <v>11</v>
      </c>
      <c r="R18" s="262">
        <f>Q18/2</f>
        <v>5.5</v>
      </c>
      <c r="S18" s="258"/>
      <c r="T18" s="265"/>
    </row>
    <row r="19" spans="1:20" s="112" customFormat="1">
      <c r="A19" s="132" t="s">
        <v>364</v>
      </c>
      <c r="B19" s="135" t="s">
        <v>365</v>
      </c>
      <c r="C19" s="197">
        <v>8</v>
      </c>
      <c r="D19" s="190">
        <v>3.5</v>
      </c>
      <c r="E19" s="134"/>
      <c r="F19" s="134"/>
      <c r="G19" s="139"/>
      <c r="H19" s="136" t="s">
        <v>366</v>
      </c>
      <c r="I19" s="144" t="s">
        <v>367</v>
      </c>
      <c r="J19" s="197">
        <v>11</v>
      </c>
      <c r="K19" s="190">
        <f>J19/2</f>
        <v>5.5</v>
      </c>
      <c r="L19" s="134"/>
      <c r="M19" s="133"/>
      <c r="O19" s="258"/>
      <c r="P19" s="258"/>
      <c r="Q19" s="259"/>
      <c r="R19" s="262"/>
      <c r="S19" s="258"/>
      <c r="T19" s="265"/>
    </row>
    <row r="20" spans="1:20" s="112" customFormat="1">
      <c r="A20" s="115" t="s">
        <v>368</v>
      </c>
      <c r="B20" s="116" t="s">
        <v>369</v>
      </c>
      <c r="C20" s="196">
        <v>10</v>
      </c>
      <c r="D20" s="189">
        <v>4.25</v>
      </c>
      <c r="E20" s="111"/>
      <c r="F20" s="111"/>
      <c r="G20" s="117"/>
      <c r="H20" s="127" t="s">
        <v>370</v>
      </c>
      <c r="I20" s="116" t="s">
        <v>371</v>
      </c>
      <c r="J20" s="196">
        <v>11</v>
      </c>
      <c r="K20" s="189">
        <f>J20/2</f>
        <v>5.5</v>
      </c>
      <c r="L20" s="111"/>
      <c r="M20" s="110"/>
      <c r="O20" s="258"/>
      <c r="P20" s="258"/>
      <c r="Q20" s="259"/>
      <c r="R20" s="262"/>
      <c r="S20" s="258"/>
      <c r="T20" s="265"/>
    </row>
    <row r="21" spans="1:20" s="112" customFormat="1">
      <c r="A21" s="132" t="s">
        <v>372</v>
      </c>
      <c r="B21" s="135" t="s">
        <v>373</v>
      </c>
      <c r="C21" s="197">
        <v>11</v>
      </c>
      <c r="D21" s="190">
        <f t="shared" ref="D21:D38" si="3">C21/2</f>
        <v>5.5</v>
      </c>
      <c r="E21" s="134"/>
      <c r="F21" s="134"/>
      <c r="G21" s="117"/>
      <c r="H21" s="132" t="s">
        <v>374</v>
      </c>
      <c r="I21" s="135" t="s">
        <v>375</v>
      </c>
      <c r="J21" s="197">
        <v>11</v>
      </c>
      <c r="K21" s="190">
        <f>J21/2</f>
        <v>5.5</v>
      </c>
      <c r="L21" s="134"/>
      <c r="M21" s="133"/>
      <c r="O21" s="257" t="s">
        <v>376</v>
      </c>
      <c r="P21" s="257" t="s">
        <v>377</v>
      </c>
      <c r="Q21" s="260">
        <v>11</v>
      </c>
      <c r="R21" s="264">
        <f>Q21/2</f>
        <v>5.5</v>
      </c>
      <c r="S21" s="257"/>
      <c r="T21" s="267"/>
    </row>
    <row r="22" spans="1:20" s="112" customFormat="1">
      <c r="A22" s="115" t="s">
        <v>378</v>
      </c>
      <c r="B22" s="116" t="s">
        <v>379</v>
      </c>
      <c r="C22" s="196">
        <v>37</v>
      </c>
      <c r="D22" s="189">
        <f t="shared" si="3"/>
        <v>18.5</v>
      </c>
      <c r="E22" s="111"/>
      <c r="F22" s="111"/>
      <c r="G22" s="117"/>
      <c r="H22" s="115" t="s">
        <v>380</v>
      </c>
      <c r="I22" s="116" t="s">
        <v>381</v>
      </c>
      <c r="J22" s="196">
        <v>11</v>
      </c>
      <c r="K22" s="203">
        <f>J22/2</f>
        <v>5.5</v>
      </c>
      <c r="L22" s="111"/>
      <c r="M22" s="110"/>
      <c r="O22" s="257"/>
      <c r="P22" s="257"/>
      <c r="Q22" s="260"/>
      <c r="R22" s="264"/>
      <c r="S22" s="257"/>
      <c r="T22" s="267"/>
    </row>
    <row r="23" spans="1:20" s="112" customFormat="1">
      <c r="A23" s="132" t="s">
        <v>382</v>
      </c>
      <c r="B23" s="135" t="s">
        <v>383</v>
      </c>
      <c r="C23" s="197">
        <v>52</v>
      </c>
      <c r="D23" s="190">
        <f t="shared" si="3"/>
        <v>26</v>
      </c>
      <c r="E23" s="134"/>
      <c r="F23" s="134"/>
      <c r="G23" s="117"/>
      <c r="H23" s="130" t="s">
        <v>384</v>
      </c>
      <c r="I23" s="130" t="s">
        <v>20</v>
      </c>
      <c r="J23" s="195" t="s">
        <v>21</v>
      </c>
      <c r="K23" s="188" t="s">
        <v>22</v>
      </c>
      <c r="L23" s="131" t="s">
        <v>23</v>
      </c>
      <c r="M23" s="131" t="s">
        <v>24</v>
      </c>
      <c r="O23" s="257"/>
      <c r="P23" s="257"/>
      <c r="Q23" s="260"/>
      <c r="R23" s="264"/>
      <c r="S23" s="257"/>
      <c r="T23" s="267"/>
    </row>
    <row r="24" spans="1:20" s="112" customFormat="1">
      <c r="A24" s="115" t="s">
        <v>385</v>
      </c>
      <c r="B24" s="116" t="s">
        <v>386</v>
      </c>
      <c r="C24" s="196">
        <v>4</v>
      </c>
      <c r="D24" s="189">
        <f t="shared" si="3"/>
        <v>2</v>
      </c>
      <c r="E24" s="111"/>
      <c r="F24" s="111"/>
      <c r="G24" s="117"/>
      <c r="H24" s="150" t="s">
        <v>387</v>
      </c>
      <c r="I24" s="141" t="s">
        <v>388</v>
      </c>
      <c r="J24" s="211">
        <v>42</v>
      </c>
      <c r="K24" s="204">
        <v>21</v>
      </c>
      <c r="L24" s="152"/>
      <c r="M24" s="151"/>
      <c r="O24" s="261" t="s">
        <v>389</v>
      </c>
      <c r="P24" s="258" t="s">
        <v>390</v>
      </c>
      <c r="Q24" s="259">
        <v>11</v>
      </c>
      <c r="R24" s="262">
        <f>Q24/2</f>
        <v>5.5</v>
      </c>
      <c r="S24" s="258"/>
      <c r="T24" s="265"/>
    </row>
    <row r="25" spans="1:20" s="112" customFormat="1">
      <c r="A25" s="132" t="s">
        <v>391</v>
      </c>
      <c r="B25" s="135" t="s">
        <v>392</v>
      </c>
      <c r="C25" s="197">
        <v>10</v>
      </c>
      <c r="D25" s="190">
        <f t="shared" si="3"/>
        <v>5</v>
      </c>
      <c r="E25" s="134"/>
      <c r="F25" s="134"/>
      <c r="G25" s="117"/>
      <c r="H25" s="130" t="s">
        <v>393</v>
      </c>
      <c r="I25" s="130" t="s">
        <v>20</v>
      </c>
      <c r="J25" s="195" t="s">
        <v>21</v>
      </c>
      <c r="K25" s="188" t="s">
        <v>22</v>
      </c>
      <c r="L25" s="131" t="s">
        <v>23</v>
      </c>
      <c r="M25" s="131" t="s">
        <v>24</v>
      </c>
      <c r="O25" s="261"/>
      <c r="P25" s="258"/>
      <c r="Q25" s="259"/>
      <c r="R25" s="262"/>
      <c r="S25" s="258"/>
      <c r="T25" s="265"/>
    </row>
    <row r="26" spans="1:20" s="112" customFormat="1">
      <c r="A26" s="115" t="s">
        <v>394</v>
      </c>
      <c r="B26" s="116" t="s">
        <v>395</v>
      </c>
      <c r="C26" s="196">
        <v>11</v>
      </c>
      <c r="D26" s="189">
        <f t="shared" si="3"/>
        <v>5.5</v>
      </c>
      <c r="E26" s="111"/>
      <c r="F26" s="111"/>
      <c r="G26" s="117"/>
      <c r="H26" s="116" t="s">
        <v>396</v>
      </c>
      <c r="I26" s="116" t="s">
        <v>397</v>
      </c>
      <c r="J26" s="196">
        <v>7</v>
      </c>
      <c r="K26" s="189">
        <f>J26/2</f>
        <v>3.5</v>
      </c>
      <c r="L26" s="111"/>
      <c r="M26" s="110"/>
      <c r="O26" s="261"/>
      <c r="P26" s="258"/>
      <c r="Q26" s="259"/>
      <c r="R26" s="262"/>
      <c r="S26" s="258"/>
      <c r="T26" s="265"/>
    </row>
    <row r="27" spans="1:20" s="112" customFormat="1">
      <c r="A27" s="132" t="s">
        <v>398</v>
      </c>
      <c r="B27" s="135" t="s">
        <v>399</v>
      </c>
      <c r="C27" s="197">
        <v>37</v>
      </c>
      <c r="D27" s="190">
        <f t="shared" si="3"/>
        <v>18.5</v>
      </c>
      <c r="E27" s="134"/>
      <c r="F27" s="134"/>
      <c r="G27" s="117"/>
      <c r="H27" s="135" t="s">
        <v>400</v>
      </c>
      <c r="I27" s="135" t="s">
        <v>401</v>
      </c>
      <c r="J27" s="197">
        <v>7</v>
      </c>
      <c r="K27" s="190">
        <f>J27/2</f>
        <v>3.5</v>
      </c>
      <c r="L27" s="134"/>
      <c r="M27" s="133"/>
      <c r="O27" s="263" t="s">
        <v>402</v>
      </c>
      <c r="P27" s="257" t="s">
        <v>403</v>
      </c>
      <c r="Q27" s="260">
        <v>11</v>
      </c>
      <c r="R27" s="264">
        <f>Q27/2</f>
        <v>5.5</v>
      </c>
      <c r="S27" s="257"/>
      <c r="T27" s="267"/>
    </row>
    <row r="28" spans="1:20" s="112" customFormat="1">
      <c r="A28" s="115" t="s">
        <v>404</v>
      </c>
      <c r="B28" s="116" t="s">
        <v>405</v>
      </c>
      <c r="C28" s="196">
        <v>52</v>
      </c>
      <c r="D28" s="189">
        <f t="shared" si="3"/>
        <v>26</v>
      </c>
      <c r="E28" s="111"/>
      <c r="F28" s="111"/>
      <c r="G28" s="117"/>
      <c r="H28" s="116" t="s">
        <v>406</v>
      </c>
      <c r="I28" s="116" t="s">
        <v>407</v>
      </c>
      <c r="J28" s="196">
        <v>7</v>
      </c>
      <c r="K28" s="189">
        <f>J28/2</f>
        <v>3.5</v>
      </c>
      <c r="L28" s="111"/>
      <c r="M28" s="110"/>
      <c r="O28" s="263"/>
      <c r="P28" s="257"/>
      <c r="Q28" s="260"/>
      <c r="R28" s="264"/>
      <c r="S28" s="257"/>
      <c r="T28" s="267"/>
    </row>
    <row r="29" spans="1:20" s="112" customFormat="1">
      <c r="A29" s="132" t="s">
        <v>408</v>
      </c>
      <c r="B29" s="135" t="s">
        <v>409</v>
      </c>
      <c r="C29" s="197">
        <v>4</v>
      </c>
      <c r="D29" s="190">
        <f t="shared" si="3"/>
        <v>2</v>
      </c>
      <c r="E29" s="134"/>
      <c r="F29" s="133"/>
      <c r="G29" s="117"/>
      <c r="H29" s="130" t="s">
        <v>410</v>
      </c>
      <c r="I29" s="130" t="s">
        <v>20</v>
      </c>
      <c r="J29" s="195" t="s">
        <v>21</v>
      </c>
      <c r="K29" s="188" t="s">
        <v>22</v>
      </c>
      <c r="L29" s="131" t="s">
        <v>23</v>
      </c>
      <c r="M29" s="131" t="s">
        <v>24</v>
      </c>
      <c r="O29" s="263"/>
      <c r="P29" s="257"/>
      <c r="Q29" s="260"/>
      <c r="R29" s="264"/>
      <c r="S29" s="257"/>
      <c r="T29" s="267"/>
    </row>
    <row r="30" spans="1:20" s="112" customFormat="1">
      <c r="A30" s="115" t="s">
        <v>411</v>
      </c>
      <c r="B30" s="116" t="s">
        <v>412</v>
      </c>
      <c r="C30" s="196">
        <v>10</v>
      </c>
      <c r="D30" s="189">
        <f t="shared" si="3"/>
        <v>5</v>
      </c>
      <c r="E30" s="111"/>
      <c r="F30" s="110"/>
      <c r="G30" s="117"/>
      <c r="H30" s="115" t="s">
        <v>413</v>
      </c>
      <c r="I30" s="116" t="s">
        <v>414</v>
      </c>
      <c r="J30" s="196">
        <v>22</v>
      </c>
      <c r="K30" s="189">
        <f>J30/2</f>
        <v>11</v>
      </c>
      <c r="L30" s="111"/>
      <c r="M30" s="110"/>
      <c r="O30" s="157" t="s">
        <v>415</v>
      </c>
      <c r="P30" s="130" t="s">
        <v>20</v>
      </c>
      <c r="Q30" s="195" t="s">
        <v>21</v>
      </c>
      <c r="R30" s="188" t="s">
        <v>22</v>
      </c>
      <c r="S30" s="131" t="s">
        <v>23</v>
      </c>
      <c r="T30" s="131" t="s">
        <v>24</v>
      </c>
    </row>
    <row r="31" spans="1:20" s="112" customFormat="1">
      <c r="A31" s="132" t="s">
        <v>416</v>
      </c>
      <c r="B31" s="135" t="s">
        <v>417</v>
      </c>
      <c r="C31" s="197">
        <v>11</v>
      </c>
      <c r="D31" s="190">
        <f t="shared" si="3"/>
        <v>5.5</v>
      </c>
      <c r="E31" s="134"/>
      <c r="F31" s="134"/>
      <c r="G31" s="117"/>
      <c r="H31" s="132" t="s">
        <v>418</v>
      </c>
      <c r="I31" s="135" t="s">
        <v>419</v>
      </c>
      <c r="J31" s="197">
        <v>33</v>
      </c>
      <c r="K31" s="190">
        <f>J31/2</f>
        <v>16.5</v>
      </c>
      <c r="L31" s="134"/>
      <c r="M31" s="133"/>
      <c r="O31" s="224" t="s">
        <v>420</v>
      </c>
      <c r="P31" s="181" t="s">
        <v>421</v>
      </c>
      <c r="Q31" s="221">
        <v>16</v>
      </c>
      <c r="R31" s="217">
        <v>8</v>
      </c>
      <c r="S31" s="149"/>
      <c r="T31" s="110"/>
    </row>
    <row r="32" spans="1:20" s="112" customFormat="1">
      <c r="A32" s="115" t="s">
        <v>422</v>
      </c>
      <c r="B32" s="116" t="s">
        <v>423</v>
      </c>
      <c r="C32" s="196">
        <v>37</v>
      </c>
      <c r="D32" s="189">
        <f t="shared" si="3"/>
        <v>18.5</v>
      </c>
      <c r="E32" s="111"/>
      <c r="F32" s="111"/>
      <c r="G32" s="117"/>
      <c r="H32" s="115" t="s">
        <v>424</v>
      </c>
      <c r="I32" s="116" t="s">
        <v>425</v>
      </c>
      <c r="J32" s="212">
        <v>33</v>
      </c>
      <c r="K32" s="189">
        <f>J32/2</f>
        <v>16.5</v>
      </c>
      <c r="L32" s="111"/>
      <c r="M32" s="110"/>
      <c r="O32" s="172" t="s">
        <v>426</v>
      </c>
      <c r="P32" s="148" t="s">
        <v>427</v>
      </c>
      <c r="Q32" s="222">
        <v>16</v>
      </c>
      <c r="R32" s="218">
        <v>8</v>
      </c>
      <c r="S32" s="148"/>
      <c r="T32" s="133"/>
    </row>
    <row r="33" spans="1:20" s="112" customFormat="1">
      <c r="A33" s="132" t="s">
        <v>428</v>
      </c>
      <c r="B33" s="135" t="s">
        <v>429</v>
      </c>
      <c r="C33" s="197">
        <v>52</v>
      </c>
      <c r="D33" s="190">
        <f t="shared" si="3"/>
        <v>26</v>
      </c>
      <c r="E33" s="134"/>
      <c r="F33" s="134"/>
      <c r="G33" s="117"/>
      <c r="H33" s="138" t="s">
        <v>430</v>
      </c>
      <c r="I33" s="145" t="s">
        <v>431</v>
      </c>
      <c r="J33" s="213">
        <v>33</v>
      </c>
      <c r="K33" s="205">
        <f>J33/2</f>
        <v>16.5</v>
      </c>
      <c r="L33" s="174"/>
      <c r="M33" s="171"/>
      <c r="O33" s="258" t="s">
        <v>432</v>
      </c>
      <c r="P33" s="258" t="s">
        <v>427</v>
      </c>
      <c r="Q33" s="259">
        <v>16</v>
      </c>
      <c r="R33" s="262">
        <f>Q33/2</f>
        <v>8</v>
      </c>
      <c r="S33" s="258"/>
      <c r="T33" s="265"/>
    </row>
    <row r="34" spans="1:20" s="112" customFormat="1">
      <c r="A34" s="115" t="s">
        <v>433</v>
      </c>
      <c r="B34" s="116" t="s">
        <v>434</v>
      </c>
      <c r="C34" s="196">
        <v>4</v>
      </c>
      <c r="D34" s="189">
        <f t="shared" si="3"/>
        <v>2</v>
      </c>
      <c r="E34" s="111"/>
      <c r="F34" s="111"/>
      <c r="G34" s="117"/>
      <c r="H34" s="182" t="s">
        <v>435</v>
      </c>
      <c r="I34" s="161" t="s">
        <v>436</v>
      </c>
      <c r="J34" s="214">
        <v>33</v>
      </c>
      <c r="K34" s="206">
        <v>16.5</v>
      </c>
      <c r="L34" s="173"/>
      <c r="M34" s="170"/>
      <c r="O34" s="258"/>
      <c r="P34" s="258"/>
      <c r="Q34" s="259"/>
      <c r="R34" s="262"/>
      <c r="S34" s="258"/>
      <c r="T34" s="265"/>
    </row>
    <row r="35" spans="1:20" s="112" customFormat="1">
      <c r="A35" s="132" t="s">
        <v>437</v>
      </c>
      <c r="B35" s="135" t="s">
        <v>438</v>
      </c>
      <c r="C35" s="197">
        <v>10</v>
      </c>
      <c r="D35" s="190">
        <f t="shared" si="3"/>
        <v>5</v>
      </c>
      <c r="E35" s="134"/>
      <c r="F35" s="134"/>
      <c r="G35" s="117"/>
      <c r="H35" s="183" t="s">
        <v>439</v>
      </c>
      <c r="I35" s="183" t="s">
        <v>440</v>
      </c>
      <c r="J35" s="215">
        <v>22</v>
      </c>
      <c r="K35" s="207">
        <v>11</v>
      </c>
      <c r="L35" s="176"/>
      <c r="M35" s="175"/>
      <c r="O35" s="258"/>
      <c r="P35" s="258"/>
      <c r="Q35" s="259"/>
      <c r="R35" s="262"/>
      <c r="S35" s="258"/>
      <c r="T35" s="265"/>
    </row>
    <row r="36" spans="1:20" s="112" customFormat="1">
      <c r="A36" s="115" t="s">
        <v>441</v>
      </c>
      <c r="B36" s="116" t="s">
        <v>442</v>
      </c>
      <c r="C36" s="196">
        <v>11</v>
      </c>
      <c r="D36" s="189">
        <f t="shared" si="3"/>
        <v>5.5</v>
      </c>
      <c r="E36" s="111"/>
      <c r="F36" s="111"/>
      <c r="G36" s="117"/>
      <c r="H36" s="156" t="s">
        <v>443</v>
      </c>
      <c r="I36" s="147" t="s">
        <v>444</v>
      </c>
      <c r="J36" s="216">
        <v>28</v>
      </c>
      <c r="K36" s="203">
        <v>14</v>
      </c>
      <c r="L36" s="155"/>
      <c r="M36" s="154"/>
      <c r="O36" s="257" t="s">
        <v>445</v>
      </c>
      <c r="P36" s="257" t="s">
        <v>446</v>
      </c>
      <c r="Q36" s="260">
        <v>16</v>
      </c>
      <c r="R36" s="264">
        <f t="shared" ref="R36" si="4">Q36/2</f>
        <v>8</v>
      </c>
      <c r="S36" s="257"/>
      <c r="T36" s="267"/>
    </row>
    <row r="37" spans="1:20" s="112" customFormat="1">
      <c r="A37" s="132" t="s">
        <v>447</v>
      </c>
      <c r="B37" s="135" t="s">
        <v>448</v>
      </c>
      <c r="C37" s="197">
        <v>37</v>
      </c>
      <c r="D37" s="190">
        <f t="shared" si="3"/>
        <v>18.5</v>
      </c>
      <c r="E37" s="134"/>
      <c r="F37" s="134"/>
      <c r="G37" s="117"/>
      <c r="H37" s="132" t="s">
        <v>449</v>
      </c>
      <c r="I37" s="135" t="s">
        <v>450</v>
      </c>
      <c r="J37" s="197">
        <v>33</v>
      </c>
      <c r="K37" s="190">
        <f t="shared" ref="K37:K38" si="5">J37/2</f>
        <v>16.5</v>
      </c>
      <c r="L37" s="134"/>
      <c r="M37" s="133"/>
      <c r="O37" s="257"/>
      <c r="P37" s="257"/>
      <c r="Q37" s="260"/>
      <c r="R37" s="264"/>
      <c r="S37" s="257"/>
      <c r="T37" s="267"/>
    </row>
    <row r="38" spans="1:20" s="112" customFormat="1">
      <c r="A38" s="115" t="s">
        <v>451</v>
      </c>
      <c r="B38" s="116" t="s">
        <v>452</v>
      </c>
      <c r="C38" s="196">
        <v>52</v>
      </c>
      <c r="D38" s="189">
        <f t="shared" si="3"/>
        <v>26</v>
      </c>
      <c r="E38" s="111"/>
      <c r="F38" s="111"/>
      <c r="G38" s="117"/>
      <c r="H38" s="153" t="s">
        <v>453</v>
      </c>
      <c r="I38" s="147" t="s">
        <v>454</v>
      </c>
      <c r="J38" s="216">
        <v>33</v>
      </c>
      <c r="K38" s="203">
        <f t="shared" si="5"/>
        <v>16.5</v>
      </c>
      <c r="L38" s="155"/>
      <c r="M38" s="154"/>
      <c r="O38" s="257"/>
      <c r="P38" s="257"/>
      <c r="Q38" s="260"/>
      <c r="R38" s="264"/>
      <c r="S38" s="257"/>
      <c r="T38" s="267"/>
    </row>
    <row r="39" spans="1:20" s="112" customFormat="1">
      <c r="A39" s="132" t="s">
        <v>455</v>
      </c>
      <c r="B39" s="135" t="s">
        <v>456</v>
      </c>
      <c r="C39" s="197">
        <v>4</v>
      </c>
      <c r="D39" s="190">
        <f t="shared" ref="D39:D48" si="6">C39/2</f>
        <v>2</v>
      </c>
      <c r="E39" s="134"/>
      <c r="F39" s="134"/>
      <c r="G39" s="117"/>
      <c r="H39" s="132" t="s">
        <v>457</v>
      </c>
      <c r="I39" s="135" t="s">
        <v>458</v>
      </c>
      <c r="J39" s="197">
        <v>33</v>
      </c>
      <c r="K39" s="190">
        <v>16.5</v>
      </c>
      <c r="L39" s="134"/>
      <c r="M39" s="133"/>
      <c r="O39" s="258" t="s">
        <v>459</v>
      </c>
      <c r="P39" s="258" t="s">
        <v>460</v>
      </c>
      <c r="Q39" s="259">
        <v>16</v>
      </c>
      <c r="R39" s="262">
        <f>Q39/2</f>
        <v>8</v>
      </c>
      <c r="S39" s="258"/>
      <c r="T39" s="265"/>
    </row>
    <row r="40" spans="1:20" s="112" customFormat="1">
      <c r="A40" s="115" t="s">
        <v>461</v>
      </c>
      <c r="B40" s="116" t="s">
        <v>462</v>
      </c>
      <c r="C40" s="196">
        <v>10</v>
      </c>
      <c r="D40" s="189">
        <f t="shared" si="6"/>
        <v>5</v>
      </c>
      <c r="E40" s="111"/>
      <c r="F40" s="111"/>
      <c r="G40" s="117"/>
      <c r="H40" s="130" t="s">
        <v>463</v>
      </c>
      <c r="I40" s="130" t="s">
        <v>20</v>
      </c>
      <c r="J40" s="195" t="s">
        <v>21</v>
      </c>
      <c r="K40" s="188" t="s">
        <v>22</v>
      </c>
      <c r="L40" s="131" t="s">
        <v>23</v>
      </c>
      <c r="M40" s="131" t="s">
        <v>24</v>
      </c>
      <c r="O40" s="258"/>
      <c r="P40" s="258"/>
      <c r="Q40" s="259"/>
      <c r="R40" s="262"/>
      <c r="S40" s="258"/>
      <c r="T40" s="265"/>
    </row>
    <row r="41" spans="1:20" s="112" customFormat="1">
      <c r="A41" s="132" t="s">
        <v>464</v>
      </c>
      <c r="B41" s="135" t="s">
        <v>465</v>
      </c>
      <c r="C41" s="197">
        <v>11</v>
      </c>
      <c r="D41" s="190">
        <f t="shared" si="6"/>
        <v>5.5</v>
      </c>
      <c r="E41" s="134"/>
      <c r="F41" s="134"/>
      <c r="G41" s="139"/>
      <c r="H41" s="115" t="s">
        <v>466</v>
      </c>
      <c r="I41" s="116" t="s">
        <v>467</v>
      </c>
      <c r="J41" s="196">
        <v>7</v>
      </c>
      <c r="K41" s="189">
        <f>J41/2</f>
        <v>3.5</v>
      </c>
      <c r="L41" s="111"/>
      <c r="M41" s="110"/>
      <c r="O41" s="258"/>
      <c r="P41" s="258"/>
      <c r="Q41" s="259"/>
      <c r="R41" s="262"/>
      <c r="S41" s="258"/>
      <c r="T41" s="265"/>
    </row>
    <row r="42" spans="1:20" s="112" customFormat="1">
      <c r="A42" s="115" t="s">
        <v>468</v>
      </c>
      <c r="B42" s="116" t="s">
        <v>469</v>
      </c>
      <c r="C42" s="196">
        <v>37</v>
      </c>
      <c r="D42" s="189">
        <f t="shared" si="6"/>
        <v>18.5</v>
      </c>
      <c r="E42" s="111"/>
      <c r="F42" s="111"/>
      <c r="G42" s="117"/>
      <c r="H42" s="132" t="s">
        <v>470</v>
      </c>
      <c r="I42" s="135" t="s">
        <v>471</v>
      </c>
      <c r="J42" s="197">
        <v>7</v>
      </c>
      <c r="K42" s="190">
        <f>J42/2</f>
        <v>3.5</v>
      </c>
      <c r="L42" s="134"/>
      <c r="M42" s="133"/>
      <c r="O42" s="148" t="s">
        <v>472</v>
      </c>
      <c r="P42" s="148" t="s">
        <v>473</v>
      </c>
      <c r="Q42" s="222">
        <v>33</v>
      </c>
      <c r="R42" s="218">
        <v>16.5</v>
      </c>
      <c r="S42" s="148"/>
      <c r="T42" s="133"/>
    </row>
    <row r="43" spans="1:20" s="112" customFormat="1">
      <c r="A43" s="132" t="s">
        <v>474</v>
      </c>
      <c r="B43" s="135" t="s">
        <v>475</v>
      </c>
      <c r="C43" s="197">
        <v>52</v>
      </c>
      <c r="D43" s="190">
        <f t="shared" si="6"/>
        <v>26</v>
      </c>
      <c r="E43" s="134"/>
      <c r="F43" s="134"/>
      <c r="G43" s="117"/>
      <c r="H43" s="115" t="s">
        <v>476</v>
      </c>
      <c r="I43" s="116" t="s">
        <v>477</v>
      </c>
      <c r="J43" s="196">
        <v>7</v>
      </c>
      <c r="K43" s="189">
        <f>J43/2</f>
        <v>3.5</v>
      </c>
      <c r="L43" s="111"/>
      <c r="M43" s="110"/>
      <c r="O43" s="149" t="s">
        <v>478</v>
      </c>
      <c r="P43" s="149" t="s">
        <v>479</v>
      </c>
      <c r="Q43" s="221">
        <v>33</v>
      </c>
      <c r="R43" s="217">
        <v>16.5</v>
      </c>
      <c r="S43" s="149"/>
      <c r="T43" s="110"/>
    </row>
    <row r="44" spans="1:20" s="112" customFormat="1">
      <c r="A44" s="115" t="s">
        <v>480</v>
      </c>
      <c r="B44" s="116" t="s">
        <v>481</v>
      </c>
      <c r="C44" s="196">
        <v>4</v>
      </c>
      <c r="D44" s="189">
        <f t="shared" si="6"/>
        <v>2</v>
      </c>
      <c r="E44" s="111"/>
      <c r="F44" s="111"/>
      <c r="G44" s="117"/>
      <c r="H44" s="130" t="s">
        <v>482</v>
      </c>
      <c r="I44" s="130" t="s">
        <v>20</v>
      </c>
      <c r="J44" s="195" t="s">
        <v>21</v>
      </c>
      <c r="K44" s="188" t="s">
        <v>22</v>
      </c>
      <c r="L44" s="131" t="s">
        <v>23</v>
      </c>
      <c r="M44" s="131" t="s">
        <v>24</v>
      </c>
      <c r="O44" s="130" t="s">
        <v>483</v>
      </c>
      <c r="P44" s="130" t="s">
        <v>20</v>
      </c>
      <c r="Q44" s="195" t="s">
        <v>21</v>
      </c>
      <c r="R44" s="188" t="s">
        <v>22</v>
      </c>
      <c r="S44" s="131" t="s">
        <v>23</v>
      </c>
      <c r="T44" s="131" t="s">
        <v>24</v>
      </c>
    </row>
    <row r="45" spans="1:20" s="112" customFormat="1">
      <c r="A45" s="132" t="s">
        <v>484</v>
      </c>
      <c r="B45" s="135" t="s">
        <v>485</v>
      </c>
      <c r="C45" s="197">
        <v>10</v>
      </c>
      <c r="D45" s="190">
        <f t="shared" si="6"/>
        <v>5</v>
      </c>
      <c r="E45" s="134"/>
      <c r="F45" s="134"/>
      <c r="G45" s="139"/>
      <c r="H45" s="115" t="s">
        <v>486</v>
      </c>
      <c r="I45" s="116" t="s">
        <v>487</v>
      </c>
      <c r="J45" s="196">
        <v>33</v>
      </c>
      <c r="K45" s="189">
        <f>J45/2</f>
        <v>16.5</v>
      </c>
      <c r="L45" s="111"/>
      <c r="M45" s="110"/>
      <c r="O45" s="115" t="s">
        <v>488</v>
      </c>
      <c r="P45" s="116" t="s">
        <v>489</v>
      </c>
      <c r="Q45" s="196">
        <v>14</v>
      </c>
      <c r="R45" s="189">
        <v>7</v>
      </c>
      <c r="S45" s="111"/>
      <c r="T45" s="110"/>
    </row>
    <row r="46" spans="1:20" s="112" customFormat="1">
      <c r="A46" s="115" t="s">
        <v>490</v>
      </c>
      <c r="B46" s="116" t="s">
        <v>491</v>
      </c>
      <c r="C46" s="196">
        <v>11</v>
      </c>
      <c r="D46" s="189">
        <f t="shared" si="6"/>
        <v>5.5</v>
      </c>
      <c r="E46" s="111"/>
      <c r="F46" s="111"/>
      <c r="G46" s="117"/>
      <c r="H46" s="132" t="s">
        <v>492</v>
      </c>
      <c r="I46" s="135" t="s">
        <v>493</v>
      </c>
      <c r="J46" s="197">
        <v>33</v>
      </c>
      <c r="K46" s="190">
        <f>J46/2</f>
        <v>16.5</v>
      </c>
      <c r="L46" s="134"/>
      <c r="M46" s="133"/>
      <c r="O46" s="132" t="s">
        <v>494</v>
      </c>
      <c r="P46" s="135" t="s">
        <v>495</v>
      </c>
      <c r="Q46" s="197">
        <v>14</v>
      </c>
      <c r="R46" s="190">
        <v>7</v>
      </c>
      <c r="S46" s="134"/>
      <c r="T46" s="133"/>
    </row>
    <row r="47" spans="1:20" s="112" customFormat="1">
      <c r="A47" s="132" t="s">
        <v>496</v>
      </c>
      <c r="B47" s="135" t="s">
        <v>497</v>
      </c>
      <c r="C47" s="197">
        <v>37</v>
      </c>
      <c r="D47" s="190">
        <f t="shared" si="6"/>
        <v>18.5</v>
      </c>
      <c r="E47" s="134"/>
      <c r="F47" s="134"/>
      <c r="G47" s="117"/>
      <c r="H47" s="115" t="s">
        <v>498</v>
      </c>
      <c r="I47" s="116" t="s">
        <v>499</v>
      </c>
      <c r="J47" s="196">
        <v>33</v>
      </c>
      <c r="K47" s="189">
        <f>J47/2</f>
        <v>16.5</v>
      </c>
      <c r="L47" s="111"/>
      <c r="M47" s="110"/>
      <c r="O47" s="115" t="s">
        <v>500</v>
      </c>
      <c r="P47" s="116" t="s">
        <v>501</v>
      </c>
      <c r="Q47" s="196">
        <v>14</v>
      </c>
      <c r="R47" s="189">
        <v>7</v>
      </c>
      <c r="S47" s="111"/>
      <c r="T47" s="110"/>
    </row>
    <row r="48" spans="1:20" s="112" customFormat="1">
      <c r="A48" s="115" t="s">
        <v>502</v>
      </c>
      <c r="B48" s="116" t="s">
        <v>503</v>
      </c>
      <c r="C48" s="196">
        <v>52</v>
      </c>
      <c r="D48" s="189">
        <f t="shared" si="6"/>
        <v>26</v>
      </c>
      <c r="E48" s="111"/>
      <c r="F48" s="111"/>
      <c r="G48" s="117"/>
      <c r="H48" s="130" t="s">
        <v>504</v>
      </c>
      <c r="I48" s="130" t="s">
        <v>20</v>
      </c>
      <c r="J48" s="195" t="s">
        <v>21</v>
      </c>
      <c r="K48" s="188" t="s">
        <v>22</v>
      </c>
      <c r="L48" s="131" t="s">
        <v>23</v>
      </c>
      <c r="M48" s="131" t="s">
        <v>24</v>
      </c>
      <c r="O48" s="157" t="s">
        <v>505</v>
      </c>
      <c r="P48" s="157" t="s">
        <v>20</v>
      </c>
      <c r="Q48" s="195" t="s">
        <v>21</v>
      </c>
      <c r="R48" s="188" t="s">
        <v>22</v>
      </c>
      <c r="S48" s="131" t="s">
        <v>23</v>
      </c>
      <c r="T48" s="131" t="s">
        <v>24</v>
      </c>
    </row>
    <row r="49" spans="1:20" s="112" customFormat="1">
      <c r="A49" s="132" t="s">
        <v>506</v>
      </c>
      <c r="B49" s="135" t="s">
        <v>507</v>
      </c>
      <c r="C49" s="197">
        <v>4</v>
      </c>
      <c r="D49" s="190">
        <f t="shared" ref="D49:D53" si="7">C49/2</f>
        <v>2</v>
      </c>
      <c r="E49" s="134"/>
      <c r="F49" s="134"/>
      <c r="G49" s="117"/>
      <c r="H49" s="115" t="s">
        <v>508</v>
      </c>
      <c r="I49" s="116" t="s">
        <v>509</v>
      </c>
      <c r="J49" s="196">
        <v>30</v>
      </c>
      <c r="K49" s="189">
        <f>J49/2</f>
        <v>15</v>
      </c>
      <c r="L49" s="111"/>
      <c r="M49" s="110"/>
      <c r="O49" s="128" t="s">
        <v>488</v>
      </c>
      <c r="P49" s="142" t="s">
        <v>510</v>
      </c>
      <c r="Q49" s="208">
        <v>12</v>
      </c>
      <c r="R49" s="189">
        <v>6</v>
      </c>
      <c r="S49" s="111"/>
      <c r="T49" s="110"/>
    </row>
    <row r="50" spans="1:20" s="112" customFormat="1">
      <c r="A50" s="115" t="s">
        <v>511</v>
      </c>
      <c r="B50" s="116" t="s">
        <v>512</v>
      </c>
      <c r="C50" s="196">
        <v>10</v>
      </c>
      <c r="D50" s="189">
        <f t="shared" si="7"/>
        <v>5</v>
      </c>
      <c r="E50" s="111"/>
      <c r="F50" s="111"/>
      <c r="G50" s="117"/>
      <c r="H50" s="130" t="s">
        <v>513</v>
      </c>
      <c r="I50" s="130" t="s">
        <v>20</v>
      </c>
      <c r="J50" s="195" t="s">
        <v>21</v>
      </c>
      <c r="K50" s="188" t="s">
        <v>22</v>
      </c>
      <c r="L50" s="131" t="s">
        <v>23</v>
      </c>
      <c r="M50" s="131" t="s">
        <v>24</v>
      </c>
      <c r="O50" s="136" t="s">
        <v>494</v>
      </c>
      <c r="P50" s="143" t="s">
        <v>514</v>
      </c>
      <c r="Q50" s="209">
        <v>12</v>
      </c>
      <c r="R50" s="190">
        <v>6</v>
      </c>
      <c r="S50" s="134"/>
      <c r="T50" s="133"/>
    </row>
    <row r="51" spans="1:20" s="112" customFormat="1">
      <c r="A51" s="132" t="s">
        <v>515</v>
      </c>
      <c r="B51" s="135" t="s">
        <v>516</v>
      </c>
      <c r="C51" s="197">
        <v>11</v>
      </c>
      <c r="D51" s="190">
        <f t="shared" si="7"/>
        <v>5.5</v>
      </c>
      <c r="E51" s="134"/>
      <c r="F51" s="134"/>
      <c r="G51" s="117"/>
      <c r="H51" s="115" t="s">
        <v>517</v>
      </c>
      <c r="I51" s="116" t="s">
        <v>518</v>
      </c>
      <c r="J51" s="196">
        <v>22</v>
      </c>
      <c r="K51" s="189">
        <f>J51/2</f>
        <v>11</v>
      </c>
      <c r="L51" s="116"/>
      <c r="M51" s="116"/>
      <c r="O51" s="128" t="s">
        <v>519</v>
      </c>
      <c r="P51" s="142" t="s">
        <v>520</v>
      </c>
      <c r="Q51" s="208">
        <v>12</v>
      </c>
      <c r="R51" s="189">
        <v>6</v>
      </c>
      <c r="S51" s="111"/>
      <c r="T51" s="110"/>
    </row>
    <row r="52" spans="1:20" s="112" customFormat="1">
      <c r="A52" s="115" t="s">
        <v>521</v>
      </c>
      <c r="B52" s="116" t="s">
        <v>522</v>
      </c>
      <c r="C52" s="196">
        <v>37</v>
      </c>
      <c r="D52" s="189">
        <f t="shared" si="7"/>
        <v>18.5</v>
      </c>
      <c r="E52" s="111"/>
      <c r="F52" s="111"/>
      <c r="G52" s="117"/>
      <c r="H52" s="132" t="s">
        <v>523</v>
      </c>
      <c r="I52" s="132" t="s">
        <v>524</v>
      </c>
      <c r="J52" s="197">
        <v>18</v>
      </c>
      <c r="K52" s="190">
        <v>9</v>
      </c>
      <c r="L52" s="132"/>
      <c r="M52" s="132"/>
      <c r="O52" s="136" t="s">
        <v>525</v>
      </c>
      <c r="P52" s="143" t="s">
        <v>526</v>
      </c>
      <c r="Q52" s="209">
        <v>12</v>
      </c>
      <c r="R52" s="190">
        <v>6</v>
      </c>
      <c r="S52" s="134"/>
      <c r="T52" s="133"/>
    </row>
    <row r="53" spans="1:20" s="112" customFormat="1">
      <c r="A53" s="132" t="s">
        <v>527</v>
      </c>
      <c r="B53" s="135" t="s">
        <v>528</v>
      </c>
      <c r="C53" s="197">
        <v>52</v>
      </c>
      <c r="D53" s="190">
        <f t="shared" si="7"/>
        <v>26</v>
      </c>
      <c r="E53" s="134"/>
      <c r="F53" s="134"/>
      <c r="G53" s="117"/>
      <c r="H53" s="149" t="s">
        <v>529</v>
      </c>
      <c r="I53" s="115" t="s">
        <v>530</v>
      </c>
      <c r="J53" s="196">
        <v>35</v>
      </c>
      <c r="K53" s="189">
        <v>17.5</v>
      </c>
      <c r="L53" s="115"/>
      <c r="M53" s="115"/>
      <c r="O53" s="128" t="s">
        <v>531</v>
      </c>
      <c r="P53" s="142" t="s">
        <v>532</v>
      </c>
      <c r="Q53" s="208">
        <v>12</v>
      </c>
      <c r="R53" s="189">
        <v>6</v>
      </c>
      <c r="S53" s="111"/>
      <c r="T53" s="110"/>
    </row>
    <row r="54" spans="1:20" s="112" customFormat="1">
      <c r="C54" s="198"/>
      <c r="D54" s="191"/>
      <c r="G54" s="117"/>
      <c r="H54" s="117"/>
      <c r="I54" s="117"/>
      <c r="J54" s="199"/>
      <c r="K54" s="192"/>
      <c r="L54" s="117"/>
      <c r="M54" s="117"/>
      <c r="O54" s="117"/>
      <c r="P54" s="117"/>
      <c r="Q54" s="199"/>
      <c r="R54" s="192"/>
      <c r="S54" s="117"/>
      <c r="T54" s="117"/>
    </row>
    <row r="55" spans="1:20" s="112" customFormat="1">
      <c r="C55" s="198"/>
      <c r="D55" s="191"/>
      <c r="G55" s="117"/>
      <c r="H55" s="117"/>
      <c r="I55" s="117"/>
      <c r="J55" s="199"/>
      <c r="K55" s="192"/>
      <c r="L55" s="117"/>
      <c r="M55" s="117"/>
      <c r="O55" s="117"/>
      <c r="P55" s="117"/>
      <c r="Q55" s="199"/>
      <c r="R55" s="192"/>
      <c r="S55" s="117"/>
      <c r="T55" s="117"/>
    </row>
    <row r="56" spans="1:20" s="112" customFormat="1">
      <c r="C56" s="198"/>
      <c r="D56" s="191"/>
      <c r="G56" s="117"/>
      <c r="H56" s="117"/>
      <c r="I56" s="117"/>
      <c r="J56" s="199"/>
      <c r="K56" s="192"/>
      <c r="L56" s="117"/>
      <c r="M56" s="117"/>
      <c r="O56" s="117"/>
      <c r="P56" s="117"/>
      <c r="Q56" s="199"/>
      <c r="R56" s="192"/>
      <c r="S56" s="117"/>
      <c r="T56" s="117"/>
    </row>
    <row r="57" spans="1:20" s="117" customFormat="1" ht="12.75">
      <c r="C57" s="199"/>
      <c r="D57" s="192"/>
      <c r="J57" s="199"/>
      <c r="K57" s="192"/>
      <c r="O57" s="177"/>
      <c r="Q57" s="199"/>
      <c r="R57" s="192"/>
    </row>
    <row r="58" spans="1:20" s="117" customFormat="1">
      <c r="C58" s="199"/>
      <c r="D58" s="192"/>
      <c r="J58" s="199"/>
      <c r="K58" s="192"/>
      <c r="Q58" s="199"/>
      <c r="R58" s="192"/>
    </row>
    <row r="59" spans="1:20" s="117" customFormat="1">
      <c r="C59" s="199"/>
      <c r="D59" s="192"/>
      <c r="J59" s="199"/>
      <c r="K59" s="192"/>
      <c r="Q59" s="199"/>
      <c r="R59" s="192"/>
    </row>
    <row r="60" spans="1:20" s="117" customFormat="1">
      <c r="C60" s="199"/>
      <c r="D60" s="192"/>
      <c r="J60" s="199"/>
      <c r="K60" s="192"/>
      <c r="Q60" s="199"/>
      <c r="R60" s="192"/>
    </row>
    <row r="61" spans="1:20" s="117" customFormat="1">
      <c r="C61" s="199"/>
      <c r="D61" s="192"/>
      <c r="J61" s="199"/>
      <c r="K61" s="192"/>
      <c r="Q61" s="199"/>
      <c r="R61" s="192"/>
    </row>
    <row r="62" spans="1:20" s="117" customFormat="1">
      <c r="C62" s="199"/>
      <c r="D62" s="192"/>
      <c r="J62" s="199"/>
      <c r="K62" s="192"/>
      <c r="Q62" s="199"/>
      <c r="R62" s="192"/>
    </row>
    <row r="63" spans="1:20" s="117" customFormat="1">
      <c r="C63" s="199"/>
      <c r="D63" s="192"/>
      <c r="J63" s="199"/>
      <c r="K63" s="192"/>
      <c r="Q63" s="199"/>
      <c r="R63" s="192"/>
    </row>
    <row r="64" spans="1:20" s="117" customFormat="1">
      <c r="C64" s="199"/>
      <c r="D64" s="192"/>
      <c r="J64" s="199"/>
      <c r="K64" s="192"/>
      <c r="Q64" s="199"/>
      <c r="R64" s="192"/>
    </row>
    <row r="65" spans="3:20" s="117" customFormat="1">
      <c r="C65" s="199"/>
      <c r="D65" s="192"/>
      <c r="J65" s="199"/>
      <c r="K65" s="192"/>
      <c r="Q65" s="199"/>
      <c r="R65" s="192"/>
    </row>
    <row r="66" spans="3:20" s="117" customFormat="1">
      <c r="C66" s="199"/>
      <c r="D66" s="192"/>
      <c r="J66" s="199"/>
      <c r="K66" s="192"/>
      <c r="Q66" s="199"/>
      <c r="R66" s="192"/>
    </row>
    <row r="67" spans="3:20" s="117" customFormat="1">
      <c r="C67" s="199"/>
      <c r="D67" s="192"/>
      <c r="J67" s="199"/>
      <c r="K67" s="192"/>
      <c r="Q67" s="199"/>
      <c r="R67" s="192"/>
    </row>
    <row r="68" spans="3:20" s="117" customFormat="1">
      <c r="C68" s="199"/>
      <c r="D68" s="192"/>
      <c r="J68" s="199"/>
      <c r="K68" s="192"/>
      <c r="O68" s="119"/>
      <c r="P68" s="119"/>
      <c r="Q68" s="200"/>
      <c r="R68" s="193"/>
      <c r="S68" s="119"/>
      <c r="T68" s="119"/>
    </row>
    <row r="69" spans="3:20" s="117" customFormat="1">
      <c r="C69" s="199"/>
      <c r="D69" s="192"/>
      <c r="J69" s="199"/>
      <c r="K69" s="192"/>
      <c r="Q69" s="199"/>
      <c r="R69" s="192"/>
    </row>
    <row r="70" spans="3:20" s="117" customFormat="1">
      <c r="C70" s="199"/>
      <c r="D70" s="192"/>
      <c r="J70" s="199"/>
      <c r="K70" s="192"/>
      <c r="Q70" s="199"/>
      <c r="R70" s="192"/>
    </row>
    <row r="71" spans="3:20" s="117" customFormat="1">
      <c r="C71" s="199"/>
      <c r="D71" s="192"/>
      <c r="J71" s="199"/>
      <c r="K71" s="192"/>
      <c r="Q71" s="199"/>
      <c r="R71" s="192"/>
    </row>
    <row r="72" spans="3:20" s="117" customFormat="1">
      <c r="C72" s="199"/>
      <c r="D72" s="192"/>
      <c r="J72" s="199"/>
      <c r="K72" s="192"/>
      <c r="Q72" s="199"/>
      <c r="R72" s="192"/>
    </row>
    <row r="73" spans="3:20" s="117" customFormat="1">
      <c r="C73" s="199"/>
      <c r="D73" s="192"/>
      <c r="J73" s="199"/>
      <c r="K73" s="192"/>
      <c r="Q73" s="199"/>
      <c r="R73" s="192"/>
    </row>
    <row r="74" spans="3:20" s="117" customFormat="1">
      <c r="C74" s="199"/>
      <c r="D74" s="192"/>
      <c r="J74" s="199"/>
      <c r="K74" s="192"/>
      <c r="Q74" s="199"/>
      <c r="R74" s="192"/>
    </row>
    <row r="75" spans="3:20" s="117" customFormat="1">
      <c r="C75" s="199"/>
      <c r="D75" s="192"/>
      <c r="J75" s="199"/>
      <c r="K75" s="192"/>
      <c r="Q75" s="199"/>
      <c r="R75" s="192"/>
    </row>
    <row r="76" spans="3:20" s="117" customFormat="1">
      <c r="C76" s="199"/>
      <c r="D76" s="192"/>
      <c r="J76" s="199"/>
      <c r="K76" s="192"/>
      <c r="Q76" s="199"/>
      <c r="R76" s="192"/>
    </row>
    <row r="77" spans="3:20" s="117" customFormat="1">
      <c r="C77" s="199"/>
      <c r="D77" s="192"/>
      <c r="J77" s="199"/>
      <c r="K77" s="192"/>
      <c r="Q77" s="199"/>
      <c r="R77" s="192"/>
    </row>
    <row r="78" spans="3:20" s="117" customFormat="1">
      <c r="C78" s="199"/>
      <c r="D78" s="192"/>
      <c r="J78" s="199"/>
      <c r="K78" s="192"/>
      <c r="Q78" s="199"/>
      <c r="R78" s="192"/>
    </row>
    <row r="79" spans="3:20" s="117" customFormat="1">
      <c r="C79" s="199"/>
      <c r="D79" s="192"/>
      <c r="J79" s="199"/>
      <c r="K79" s="192"/>
      <c r="Q79" s="199"/>
      <c r="R79" s="192"/>
    </row>
    <row r="80" spans="3:20" s="117" customFormat="1">
      <c r="C80" s="199"/>
      <c r="D80" s="192"/>
      <c r="H80" s="119"/>
      <c r="I80" s="119"/>
      <c r="J80" s="200"/>
      <c r="K80" s="193"/>
      <c r="L80" s="119"/>
      <c r="M80" s="119"/>
      <c r="Q80" s="199"/>
      <c r="R80" s="192"/>
    </row>
    <row r="81" spans="3:20" s="117" customFormat="1">
      <c r="C81" s="199"/>
      <c r="D81" s="192"/>
      <c r="J81" s="199"/>
      <c r="K81" s="192"/>
      <c r="Q81" s="199"/>
      <c r="R81" s="192"/>
    </row>
    <row r="82" spans="3:20" s="117" customFormat="1">
      <c r="C82" s="199"/>
      <c r="D82" s="192"/>
      <c r="J82" s="199"/>
      <c r="K82" s="192"/>
      <c r="Q82" s="199"/>
      <c r="R82" s="192"/>
    </row>
    <row r="83" spans="3:20" s="117" customFormat="1">
      <c r="C83" s="199"/>
      <c r="D83" s="192"/>
      <c r="J83" s="199"/>
      <c r="K83" s="192"/>
      <c r="Q83" s="199"/>
      <c r="R83" s="192"/>
    </row>
    <row r="84" spans="3:20" s="119" customFormat="1">
      <c r="C84" s="200"/>
      <c r="D84" s="193"/>
      <c r="H84" s="117"/>
      <c r="I84" s="117"/>
      <c r="J84" s="199"/>
      <c r="K84" s="192"/>
      <c r="L84" s="117"/>
      <c r="M84" s="117"/>
      <c r="N84" s="117"/>
      <c r="O84" s="117"/>
      <c r="P84" s="117"/>
      <c r="Q84" s="199"/>
      <c r="R84" s="192"/>
      <c r="S84" s="117"/>
      <c r="T84" s="117"/>
    </row>
    <row r="85" spans="3:20" s="117" customFormat="1">
      <c r="C85" s="199"/>
      <c r="D85" s="192"/>
      <c r="J85" s="199"/>
      <c r="K85" s="192"/>
      <c r="N85" s="119"/>
      <c r="Q85" s="199"/>
      <c r="R85" s="192"/>
    </row>
    <row r="86" spans="3:20" s="117" customFormat="1">
      <c r="C86" s="199"/>
      <c r="D86" s="192"/>
      <c r="J86" s="199"/>
      <c r="K86" s="192"/>
      <c r="Q86" s="199"/>
      <c r="R86" s="192"/>
    </row>
    <row r="87" spans="3:20" s="117" customFormat="1">
      <c r="C87" s="199"/>
      <c r="D87" s="192"/>
      <c r="J87" s="199"/>
      <c r="K87" s="192"/>
      <c r="Q87" s="199"/>
      <c r="R87" s="192"/>
    </row>
    <row r="88" spans="3:20" s="117" customFormat="1">
      <c r="C88" s="199"/>
      <c r="D88" s="192"/>
      <c r="J88" s="199"/>
      <c r="K88" s="192"/>
      <c r="Q88" s="199"/>
      <c r="R88" s="192"/>
    </row>
    <row r="89" spans="3:20" s="117" customFormat="1">
      <c r="C89" s="199"/>
      <c r="D89" s="192"/>
      <c r="J89" s="199"/>
      <c r="K89" s="192"/>
      <c r="Q89" s="199"/>
      <c r="R89" s="192"/>
    </row>
    <row r="90" spans="3:20" s="117" customFormat="1">
      <c r="C90" s="199"/>
      <c r="D90" s="192"/>
      <c r="J90" s="199"/>
      <c r="K90" s="192"/>
      <c r="O90" s="119"/>
      <c r="P90" s="119"/>
      <c r="Q90" s="200"/>
      <c r="R90" s="193"/>
      <c r="S90" s="119"/>
      <c r="T90" s="119"/>
    </row>
    <row r="91" spans="3:20" s="117" customFormat="1">
      <c r="C91" s="199"/>
      <c r="D91" s="192"/>
      <c r="J91" s="199"/>
      <c r="K91" s="192"/>
      <c r="Q91" s="199"/>
      <c r="R91" s="192"/>
    </row>
    <row r="92" spans="3:20" s="117" customFormat="1">
      <c r="C92" s="199"/>
      <c r="D92" s="192"/>
      <c r="J92" s="199"/>
      <c r="K92" s="192"/>
      <c r="Q92" s="199"/>
      <c r="R92" s="192"/>
    </row>
    <row r="93" spans="3:20" s="117" customFormat="1">
      <c r="C93" s="199"/>
      <c r="D93" s="192"/>
      <c r="J93" s="199"/>
      <c r="K93" s="192"/>
      <c r="Q93" s="199"/>
      <c r="R93" s="192"/>
    </row>
    <row r="94" spans="3:20" s="117" customFormat="1">
      <c r="C94" s="199"/>
      <c r="D94" s="192"/>
      <c r="J94" s="199"/>
      <c r="K94" s="192"/>
      <c r="Q94" s="199"/>
      <c r="R94" s="192"/>
    </row>
    <row r="95" spans="3:20" s="117" customFormat="1">
      <c r="C95" s="199"/>
      <c r="D95" s="192"/>
      <c r="J95" s="199"/>
      <c r="K95" s="192"/>
      <c r="Q95" s="199"/>
      <c r="R95" s="192"/>
    </row>
    <row r="96" spans="3:20" s="117" customFormat="1">
      <c r="C96" s="199"/>
      <c r="D96" s="192"/>
      <c r="J96" s="199"/>
      <c r="K96" s="192"/>
      <c r="Q96" s="199"/>
      <c r="R96" s="192"/>
    </row>
    <row r="97" spans="3:20" s="117" customFormat="1">
      <c r="C97" s="199"/>
      <c r="D97" s="192"/>
      <c r="J97" s="199"/>
      <c r="K97" s="192"/>
      <c r="O97" s="119"/>
      <c r="P97" s="119"/>
      <c r="Q97" s="200"/>
      <c r="R97" s="193"/>
      <c r="S97" s="119"/>
      <c r="T97" s="119"/>
    </row>
    <row r="98" spans="3:20" s="117" customFormat="1">
      <c r="C98" s="199"/>
      <c r="D98" s="192"/>
      <c r="J98" s="199"/>
      <c r="K98" s="192"/>
      <c r="Q98" s="199"/>
      <c r="R98" s="192"/>
    </row>
    <row r="99" spans="3:20" s="117" customFormat="1">
      <c r="C99" s="199"/>
      <c r="D99" s="192"/>
      <c r="H99" s="112"/>
      <c r="I99" s="112"/>
      <c r="J99" s="198"/>
      <c r="K99" s="191"/>
      <c r="L99" s="112"/>
      <c r="M99" s="112"/>
      <c r="Q99" s="199"/>
      <c r="R99" s="192"/>
    </row>
    <row r="100" spans="3:20" s="117" customFormat="1">
      <c r="C100" s="199"/>
      <c r="D100" s="192"/>
      <c r="J100" s="199"/>
      <c r="K100" s="192"/>
      <c r="Q100" s="199"/>
      <c r="R100" s="192"/>
    </row>
    <row r="101" spans="3:20" s="117" customFormat="1">
      <c r="C101" s="199"/>
      <c r="D101" s="192"/>
      <c r="J101" s="199"/>
      <c r="K101" s="192"/>
      <c r="Q101" s="199"/>
      <c r="R101" s="192"/>
    </row>
    <row r="102" spans="3:20" s="117" customFormat="1">
      <c r="C102" s="199"/>
      <c r="D102" s="192"/>
      <c r="H102" s="119"/>
      <c r="I102" s="119"/>
      <c r="J102" s="200"/>
      <c r="K102" s="193"/>
      <c r="L102" s="119"/>
      <c r="M102" s="119"/>
      <c r="O102" s="119"/>
      <c r="P102" s="119"/>
      <c r="Q102" s="200"/>
      <c r="R102" s="193"/>
      <c r="S102" s="119"/>
      <c r="T102" s="119"/>
    </row>
    <row r="103" spans="3:20" s="117" customFormat="1">
      <c r="C103" s="199"/>
      <c r="D103" s="192"/>
      <c r="J103" s="199"/>
      <c r="K103" s="192"/>
      <c r="Q103" s="199"/>
      <c r="R103" s="192"/>
    </row>
    <row r="104" spans="3:20" s="117" customFormat="1">
      <c r="C104" s="199"/>
      <c r="D104" s="192"/>
      <c r="J104" s="199"/>
      <c r="K104" s="192"/>
      <c r="Q104" s="199"/>
      <c r="R104" s="192"/>
    </row>
    <row r="105" spans="3:20" s="117" customFormat="1">
      <c r="C105" s="199"/>
      <c r="D105" s="192"/>
      <c r="J105" s="199"/>
      <c r="K105" s="192"/>
      <c r="Q105" s="199"/>
      <c r="R105" s="192"/>
    </row>
    <row r="106" spans="3:20" s="119" customFormat="1">
      <c r="C106" s="200"/>
      <c r="D106" s="193"/>
      <c r="H106" s="117"/>
      <c r="I106" s="117"/>
      <c r="J106" s="199"/>
      <c r="K106" s="192"/>
      <c r="L106" s="117"/>
      <c r="M106" s="117"/>
      <c r="N106" s="117"/>
      <c r="O106" s="117"/>
      <c r="P106" s="117"/>
      <c r="Q106" s="199"/>
      <c r="R106" s="192"/>
      <c r="S106" s="117"/>
      <c r="T106" s="117"/>
    </row>
    <row r="107" spans="3:20" s="117" customFormat="1">
      <c r="C107" s="199"/>
      <c r="D107" s="192"/>
      <c r="J107" s="199"/>
      <c r="K107" s="192"/>
      <c r="N107" s="119"/>
      <c r="Q107" s="199"/>
      <c r="R107" s="192"/>
    </row>
    <row r="108" spans="3:20" s="117" customFormat="1">
      <c r="C108" s="199"/>
      <c r="D108" s="192"/>
      <c r="J108" s="199"/>
      <c r="K108" s="192"/>
      <c r="Q108" s="199"/>
      <c r="R108" s="192"/>
    </row>
    <row r="109" spans="3:20" s="117" customFormat="1">
      <c r="C109" s="199"/>
      <c r="D109" s="192"/>
      <c r="H109" s="119"/>
      <c r="I109" s="119"/>
      <c r="J109" s="200"/>
      <c r="K109" s="193"/>
      <c r="L109" s="119"/>
      <c r="M109" s="119"/>
      <c r="Q109" s="199"/>
      <c r="R109" s="192"/>
    </row>
    <row r="110" spans="3:20" s="117" customFormat="1">
      <c r="C110" s="199"/>
      <c r="D110" s="192"/>
      <c r="J110" s="199"/>
      <c r="K110" s="192"/>
      <c r="Q110" s="199"/>
      <c r="R110" s="192"/>
    </row>
    <row r="111" spans="3:20" s="117" customFormat="1">
      <c r="C111" s="199"/>
      <c r="D111" s="192"/>
      <c r="J111" s="199"/>
      <c r="K111" s="192"/>
      <c r="Q111" s="199"/>
      <c r="R111" s="192"/>
    </row>
    <row r="112" spans="3:20" s="117" customFormat="1">
      <c r="C112" s="199"/>
      <c r="D112" s="192"/>
      <c r="J112" s="199"/>
      <c r="K112" s="192"/>
      <c r="Q112" s="199"/>
      <c r="R112" s="192"/>
    </row>
    <row r="113" spans="3:20" s="119" customFormat="1">
      <c r="C113" s="200"/>
      <c r="D113" s="193"/>
      <c r="H113" s="117"/>
      <c r="I113" s="117"/>
      <c r="J113" s="199"/>
      <c r="K113" s="192"/>
      <c r="L113" s="117"/>
      <c r="M113" s="117"/>
      <c r="N113" s="117"/>
      <c r="Q113" s="200"/>
      <c r="R113" s="193"/>
    </row>
    <row r="114" spans="3:20" s="117" customFormat="1">
      <c r="C114" s="199"/>
      <c r="D114" s="192"/>
      <c r="H114" s="119"/>
      <c r="I114" s="119"/>
      <c r="J114" s="200"/>
      <c r="K114" s="193"/>
      <c r="L114" s="119"/>
      <c r="M114" s="119"/>
      <c r="N114" s="119"/>
      <c r="Q114" s="199"/>
      <c r="R114" s="192"/>
    </row>
    <row r="115" spans="3:20" s="117" customFormat="1">
      <c r="C115" s="199"/>
      <c r="D115" s="192"/>
      <c r="J115" s="199"/>
      <c r="K115" s="192"/>
      <c r="Q115" s="199"/>
      <c r="R115" s="192"/>
    </row>
    <row r="116" spans="3:20" s="117" customFormat="1">
      <c r="C116" s="199"/>
      <c r="D116" s="192"/>
      <c r="J116" s="199"/>
      <c r="K116" s="192"/>
      <c r="Q116" s="199"/>
      <c r="R116" s="192"/>
    </row>
    <row r="117" spans="3:20" s="117" customFormat="1">
      <c r="C117" s="199"/>
      <c r="D117" s="192"/>
      <c r="J117" s="199"/>
      <c r="K117" s="192"/>
      <c r="Q117" s="199"/>
      <c r="R117" s="192"/>
    </row>
    <row r="118" spans="3:20" s="119" customFormat="1">
      <c r="C118" s="200"/>
      <c r="D118" s="193"/>
      <c r="H118" s="117"/>
      <c r="I118" s="117"/>
      <c r="J118" s="199"/>
      <c r="K118" s="192"/>
      <c r="L118" s="117"/>
      <c r="M118" s="117"/>
      <c r="N118" s="117"/>
      <c r="O118" s="117"/>
      <c r="P118" s="117"/>
      <c r="Q118" s="199"/>
      <c r="R118" s="192"/>
      <c r="S118" s="117"/>
      <c r="T118" s="117"/>
    </row>
    <row r="119" spans="3:20" s="117" customFormat="1">
      <c r="C119" s="199"/>
      <c r="D119" s="192"/>
      <c r="J119" s="199"/>
      <c r="K119" s="192"/>
      <c r="N119" s="119"/>
      <c r="Q119" s="199"/>
      <c r="R119" s="192"/>
    </row>
    <row r="120" spans="3:20" s="117" customFormat="1">
      <c r="C120" s="199"/>
      <c r="D120" s="192"/>
      <c r="J120" s="199"/>
      <c r="K120" s="192"/>
      <c r="O120" s="119"/>
      <c r="P120" s="119"/>
      <c r="Q120" s="200"/>
      <c r="R120" s="193"/>
      <c r="S120" s="119"/>
      <c r="T120" s="119"/>
    </row>
    <row r="121" spans="3:20" s="117" customFormat="1">
      <c r="C121" s="199"/>
      <c r="D121" s="192"/>
      <c r="J121" s="199"/>
      <c r="K121" s="192"/>
      <c r="Q121" s="199"/>
      <c r="R121" s="192"/>
    </row>
    <row r="122" spans="3:20" s="117" customFormat="1">
      <c r="C122" s="199"/>
      <c r="D122" s="192"/>
      <c r="J122" s="199"/>
      <c r="K122" s="192"/>
      <c r="Q122" s="199"/>
      <c r="R122" s="192"/>
    </row>
    <row r="123" spans="3:20" s="117" customFormat="1">
      <c r="C123" s="199"/>
      <c r="D123" s="192"/>
      <c r="J123" s="199"/>
      <c r="K123" s="192"/>
      <c r="Q123" s="199"/>
      <c r="R123" s="192"/>
    </row>
    <row r="124" spans="3:20" s="117" customFormat="1">
      <c r="C124" s="199"/>
      <c r="D124" s="192"/>
      <c r="J124" s="199"/>
      <c r="K124" s="192"/>
      <c r="O124" s="119"/>
      <c r="P124" s="119"/>
      <c r="Q124" s="200"/>
      <c r="R124" s="193"/>
      <c r="S124" s="119"/>
      <c r="T124" s="119"/>
    </row>
    <row r="125" spans="3:20" s="117" customFormat="1">
      <c r="C125" s="199"/>
      <c r="D125" s="192"/>
      <c r="H125" s="119"/>
      <c r="I125" s="119"/>
      <c r="J125" s="200"/>
      <c r="K125" s="193"/>
      <c r="L125" s="119"/>
      <c r="M125" s="119"/>
      <c r="Q125" s="199"/>
      <c r="R125" s="192"/>
    </row>
    <row r="126" spans="3:20" s="117" customFormat="1">
      <c r="C126" s="199"/>
      <c r="D126" s="192"/>
      <c r="J126" s="199"/>
      <c r="K126" s="192"/>
      <c r="Q126" s="199"/>
      <c r="R126" s="192"/>
    </row>
    <row r="127" spans="3:20" s="117" customFormat="1">
      <c r="C127" s="199"/>
      <c r="D127" s="192"/>
      <c r="J127" s="199"/>
      <c r="K127" s="192"/>
      <c r="Q127" s="199"/>
      <c r="R127" s="192"/>
    </row>
    <row r="128" spans="3:20" s="117" customFormat="1">
      <c r="C128" s="199"/>
      <c r="D128" s="192"/>
      <c r="J128" s="199"/>
      <c r="K128" s="192"/>
      <c r="Q128" s="199"/>
      <c r="R128" s="192"/>
    </row>
    <row r="129" spans="1:20" s="119" customFormat="1">
      <c r="C129" s="200"/>
      <c r="D129" s="193"/>
      <c r="H129" s="117"/>
      <c r="I129" s="117"/>
      <c r="J129" s="199"/>
      <c r="K129" s="192"/>
      <c r="L129" s="117"/>
      <c r="M129" s="117"/>
      <c r="N129" s="117"/>
      <c r="O129" s="117"/>
      <c r="P129" s="117"/>
      <c r="Q129" s="199"/>
      <c r="R129" s="192"/>
      <c r="S129" s="117"/>
      <c r="T129" s="117"/>
    </row>
    <row r="130" spans="1:20" s="117" customFormat="1">
      <c r="C130" s="199"/>
      <c r="D130" s="192"/>
      <c r="J130" s="199"/>
      <c r="K130" s="192"/>
      <c r="N130" s="119"/>
      <c r="Q130" s="199"/>
      <c r="R130" s="192"/>
    </row>
    <row r="131" spans="1:20" s="117" customFormat="1">
      <c r="C131" s="199"/>
      <c r="D131" s="192"/>
      <c r="J131" s="199"/>
      <c r="K131" s="192"/>
      <c r="Q131" s="199"/>
      <c r="R131" s="192"/>
    </row>
    <row r="132" spans="1:20" s="117" customFormat="1">
      <c r="C132" s="199"/>
      <c r="D132" s="192"/>
      <c r="H132" s="119"/>
      <c r="I132" s="119"/>
      <c r="J132" s="200"/>
      <c r="K132" s="193"/>
      <c r="L132" s="119"/>
      <c r="M132" s="119"/>
      <c r="Q132" s="199"/>
      <c r="R132" s="192"/>
    </row>
    <row r="133" spans="1:20" s="117" customFormat="1">
      <c r="C133" s="199"/>
      <c r="D133" s="192"/>
      <c r="J133" s="199"/>
      <c r="K133" s="192"/>
      <c r="Q133" s="199"/>
      <c r="R133" s="192"/>
    </row>
    <row r="134" spans="1:20" s="117" customFormat="1">
      <c r="C134" s="199"/>
      <c r="D134" s="192"/>
      <c r="J134" s="199"/>
      <c r="K134" s="192"/>
      <c r="Q134" s="199"/>
      <c r="R134" s="192"/>
    </row>
    <row r="135" spans="1:20" s="117" customFormat="1">
      <c r="C135" s="199"/>
      <c r="D135" s="192"/>
      <c r="J135" s="199"/>
      <c r="K135" s="192"/>
      <c r="Q135" s="199"/>
      <c r="R135" s="192"/>
    </row>
    <row r="136" spans="1:20" s="119" customFormat="1">
      <c r="C136" s="200"/>
      <c r="D136" s="193"/>
      <c r="J136" s="200"/>
      <c r="K136" s="193"/>
      <c r="N136" s="117"/>
      <c r="O136" s="117"/>
      <c r="P136" s="117"/>
      <c r="Q136" s="199"/>
      <c r="R136" s="192"/>
      <c r="S136" s="117"/>
      <c r="T136" s="117"/>
    </row>
    <row r="137" spans="1:20" s="117" customFormat="1">
      <c r="C137" s="199"/>
      <c r="D137" s="192"/>
      <c r="J137" s="199"/>
      <c r="K137" s="192"/>
      <c r="N137" s="119"/>
      <c r="Q137" s="199"/>
      <c r="R137" s="192"/>
    </row>
    <row r="138" spans="1:20" s="117" customFormat="1">
      <c r="C138" s="199"/>
      <c r="D138" s="192"/>
      <c r="J138" s="199"/>
      <c r="K138" s="192"/>
      <c r="Q138" s="199"/>
      <c r="R138" s="192"/>
    </row>
    <row r="139" spans="1:20" s="117" customFormat="1">
      <c r="C139" s="199"/>
      <c r="D139" s="192"/>
      <c r="J139" s="199"/>
      <c r="K139" s="192"/>
      <c r="Q139" s="199"/>
      <c r="R139" s="192"/>
    </row>
    <row r="140" spans="1:20" s="119" customFormat="1">
      <c r="C140" s="200"/>
      <c r="D140" s="193"/>
      <c r="H140" s="117"/>
      <c r="I140" s="117"/>
      <c r="J140" s="199"/>
      <c r="K140" s="192"/>
      <c r="L140" s="117"/>
      <c r="M140" s="117"/>
      <c r="N140" s="117"/>
      <c r="O140" s="117"/>
      <c r="P140" s="117"/>
      <c r="Q140" s="199"/>
      <c r="R140" s="192"/>
      <c r="S140" s="117"/>
      <c r="T140" s="117"/>
    </row>
    <row r="141" spans="1:20" s="117" customFormat="1">
      <c r="C141" s="199"/>
      <c r="D141" s="192"/>
      <c r="J141" s="199"/>
      <c r="K141" s="192"/>
      <c r="N141" s="119"/>
      <c r="O141" s="120"/>
      <c r="P141" s="120"/>
      <c r="Q141" s="201"/>
      <c r="R141" s="194"/>
      <c r="S141" s="120"/>
      <c r="T141" s="120"/>
    </row>
    <row r="142" spans="1:20" s="117" customFormat="1">
      <c r="C142" s="199"/>
      <c r="D142" s="192"/>
      <c r="J142" s="199"/>
      <c r="K142" s="192"/>
      <c r="O142" s="120"/>
      <c r="P142" s="120"/>
      <c r="Q142" s="201"/>
      <c r="R142" s="194"/>
      <c r="S142" s="120"/>
      <c r="T142" s="120"/>
    </row>
    <row r="143" spans="1:20" s="117" customFormat="1">
      <c r="A143" s="120"/>
      <c r="B143" s="120"/>
      <c r="C143" s="201"/>
      <c r="D143" s="191"/>
      <c r="E143" s="112"/>
      <c r="F143" s="118"/>
      <c r="J143" s="199"/>
      <c r="K143" s="192"/>
      <c r="O143" s="120"/>
      <c r="P143" s="120"/>
      <c r="Q143" s="201"/>
      <c r="R143" s="194"/>
      <c r="S143" s="120"/>
      <c r="T143" s="120"/>
    </row>
    <row r="144" spans="1:20" s="117" customFormat="1">
      <c r="A144" s="120"/>
      <c r="B144" s="120"/>
      <c r="C144" s="201"/>
      <c r="D144" s="191"/>
      <c r="E144" s="112"/>
      <c r="F144" s="118"/>
      <c r="J144" s="199"/>
      <c r="K144" s="192"/>
      <c r="O144" s="120"/>
      <c r="P144" s="120"/>
      <c r="Q144" s="201"/>
      <c r="R144" s="194"/>
      <c r="S144" s="120"/>
      <c r="T144" s="120"/>
    </row>
    <row r="145" spans="1:20" s="117" customFormat="1">
      <c r="A145" s="120"/>
      <c r="B145" s="120"/>
      <c r="C145" s="201"/>
      <c r="D145" s="191"/>
      <c r="E145" s="112"/>
      <c r="F145" s="118"/>
      <c r="J145" s="199"/>
      <c r="K145" s="192"/>
      <c r="O145" s="120"/>
      <c r="P145" s="120"/>
      <c r="Q145" s="201"/>
      <c r="R145" s="194"/>
      <c r="S145" s="120"/>
      <c r="T145" s="120"/>
    </row>
    <row r="146" spans="1:20" s="117" customFormat="1">
      <c r="A146" s="120"/>
      <c r="B146" s="120"/>
      <c r="C146" s="201"/>
      <c r="D146" s="191"/>
      <c r="E146" s="112"/>
      <c r="F146" s="118"/>
      <c r="J146" s="199"/>
      <c r="K146" s="192"/>
      <c r="O146" s="120"/>
      <c r="P146" s="120"/>
      <c r="Q146" s="201"/>
      <c r="R146" s="194"/>
      <c r="S146" s="120"/>
      <c r="T146" s="120"/>
    </row>
    <row r="147" spans="1:20" s="117" customFormat="1">
      <c r="A147" s="120"/>
      <c r="B147" s="120"/>
      <c r="C147" s="201"/>
      <c r="D147" s="191"/>
      <c r="E147" s="112"/>
      <c r="F147" s="118"/>
      <c r="J147" s="199"/>
      <c r="K147" s="192"/>
      <c r="O147" s="120"/>
      <c r="P147" s="120"/>
      <c r="Q147" s="201"/>
      <c r="R147" s="194"/>
      <c r="S147" s="120"/>
      <c r="T147" s="120"/>
    </row>
    <row r="148" spans="1:20" s="117" customFormat="1">
      <c r="A148" s="120"/>
      <c r="B148" s="120"/>
      <c r="C148" s="201"/>
      <c r="D148" s="191"/>
      <c r="E148" s="112"/>
      <c r="F148" s="118"/>
      <c r="J148" s="199"/>
      <c r="K148" s="192"/>
      <c r="O148" s="120"/>
      <c r="P148" s="120"/>
      <c r="Q148" s="201"/>
      <c r="R148" s="194"/>
      <c r="S148" s="120"/>
      <c r="T148" s="120"/>
    </row>
    <row r="149" spans="1:20" s="117" customFormat="1">
      <c r="A149" s="120"/>
      <c r="B149" s="120"/>
      <c r="C149" s="201"/>
      <c r="D149" s="191"/>
      <c r="E149" s="112"/>
      <c r="F149" s="118"/>
      <c r="J149" s="199"/>
      <c r="K149" s="192"/>
      <c r="O149" s="120"/>
      <c r="P149" s="120"/>
      <c r="Q149" s="201"/>
      <c r="R149" s="194"/>
      <c r="S149" s="120"/>
      <c r="T149" s="120"/>
    </row>
    <row r="150" spans="1:20" s="117" customFormat="1">
      <c r="A150" s="120"/>
      <c r="B150" s="120"/>
      <c r="C150" s="201"/>
      <c r="D150" s="191"/>
      <c r="E150" s="112"/>
      <c r="F150" s="118"/>
      <c r="J150" s="199"/>
      <c r="K150" s="192"/>
      <c r="O150" s="120"/>
      <c r="P150" s="120"/>
      <c r="Q150" s="201"/>
      <c r="R150" s="194"/>
      <c r="S150" s="120"/>
      <c r="T150" s="120"/>
    </row>
    <row r="151" spans="1:20" s="117" customFormat="1">
      <c r="A151" s="120"/>
      <c r="B151" s="120"/>
      <c r="C151" s="201"/>
      <c r="D151" s="191"/>
      <c r="E151" s="112"/>
      <c r="F151" s="118"/>
      <c r="J151" s="199"/>
      <c r="K151" s="192"/>
      <c r="O151" s="120"/>
      <c r="P151" s="120"/>
      <c r="Q151" s="201"/>
      <c r="R151" s="194"/>
      <c r="S151" s="120"/>
      <c r="T151" s="120"/>
    </row>
    <row r="152" spans="1:20" s="117" customFormat="1">
      <c r="A152" s="120"/>
      <c r="B152" s="120"/>
      <c r="C152" s="201"/>
      <c r="D152" s="191"/>
      <c r="E152" s="112"/>
      <c r="F152" s="118"/>
      <c r="J152" s="199"/>
      <c r="K152" s="192"/>
      <c r="O152" s="120"/>
      <c r="P152" s="120"/>
      <c r="Q152" s="201"/>
      <c r="R152" s="194"/>
      <c r="S152" s="120"/>
      <c r="T152" s="120"/>
    </row>
    <row r="153" spans="1:20" s="117" customFormat="1">
      <c r="A153" s="120"/>
      <c r="B153" s="120"/>
      <c r="C153" s="201"/>
      <c r="D153" s="191"/>
      <c r="E153" s="112"/>
      <c r="F153" s="118"/>
      <c r="H153" s="120"/>
      <c r="I153" s="120"/>
      <c r="J153" s="201"/>
      <c r="K153" s="194"/>
      <c r="L153" s="120"/>
      <c r="M153" s="120"/>
      <c r="O153" s="120"/>
      <c r="P153" s="120"/>
      <c r="Q153" s="201"/>
      <c r="R153" s="194"/>
      <c r="S153" s="120"/>
      <c r="T153" s="120"/>
    </row>
    <row r="154" spans="1:20" s="117" customFormat="1">
      <c r="A154" s="120"/>
      <c r="B154" s="120"/>
      <c r="C154" s="201"/>
      <c r="D154" s="191"/>
      <c r="E154" s="112"/>
      <c r="F154" s="118"/>
      <c r="H154" s="120"/>
      <c r="I154" s="120"/>
      <c r="J154" s="201"/>
      <c r="K154" s="194"/>
      <c r="L154" s="120"/>
      <c r="M154" s="120"/>
      <c r="O154" s="120"/>
      <c r="P154" s="120"/>
      <c r="Q154" s="201"/>
      <c r="R154" s="194"/>
      <c r="S154" s="120"/>
      <c r="T154" s="120"/>
    </row>
    <row r="155" spans="1:20" s="117" customFormat="1">
      <c r="A155" s="120"/>
      <c r="B155" s="120"/>
      <c r="C155" s="201"/>
      <c r="D155" s="191"/>
      <c r="E155" s="112"/>
      <c r="F155" s="118"/>
      <c r="H155" s="120"/>
      <c r="I155" s="120"/>
      <c r="J155" s="201"/>
      <c r="K155" s="194"/>
      <c r="L155" s="120"/>
      <c r="M155" s="120"/>
      <c r="O155" s="120"/>
      <c r="P155" s="120"/>
      <c r="Q155" s="201"/>
      <c r="R155" s="194"/>
      <c r="S155" s="120"/>
      <c r="T155" s="120"/>
    </row>
    <row r="156" spans="1:20" s="117" customFormat="1">
      <c r="A156" s="120"/>
      <c r="B156" s="120"/>
      <c r="C156" s="201"/>
      <c r="D156" s="191"/>
      <c r="E156" s="112"/>
      <c r="F156" s="118"/>
      <c r="H156" s="120"/>
      <c r="I156" s="120"/>
      <c r="J156" s="201"/>
      <c r="K156" s="194"/>
      <c r="L156" s="120"/>
      <c r="M156" s="120"/>
      <c r="O156" s="120"/>
      <c r="P156" s="120"/>
      <c r="Q156" s="201"/>
      <c r="R156" s="194"/>
      <c r="S156" s="120"/>
      <c r="T156" s="120"/>
    </row>
    <row r="157" spans="1:20">
      <c r="N157" s="117"/>
    </row>
  </sheetData>
  <mergeCells count="60">
    <mergeCell ref="T39:T41"/>
    <mergeCell ref="R11:R13"/>
    <mergeCell ref="S11:S13"/>
    <mergeCell ref="T11:T13"/>
    <mergeCell ref="T8:T10"/>
    <mergeCell ref="T21:T23"/>
    <mergeCell ref="T18:T20"/>
    <mergeCell ref="T27:T29"/>
    <mergeCell ref="S24:S26"/>
    <mergeCell ref="T24:T26"/>
    <mergeCell ref="S27:S29"/>
    <mergeCell ref="T36:T38"/>
    <mergeCell ref="R33:R35"/>
    <mergeCell ref="S33:S35"/>
    <mergeCell ref="T33:T35"/>
    <mergeCell ref="R36:R38"/>
    <mergeCell ref="O39:O41"/>
    <mergeCell ref="P39:P41"/>
    <mergeCell ref="Q39:Q41"/>
    <mergeCell ref="R39:R41"/>
    <mergeCell ref="S39:S41"/>
    <mergeCell ref="O8:O10"/>
    <mergeCell ref="P8:P10"/>
    <mergeCell ref="Q8:Q10"/>
    <mergeCell ref="R8:R10"/>
    <mergeCell ref="S8:S10"/>
    <mergeCell ref="O11:O13"/>
    <mergeCell ref="P11:P13"/>
    <mergeCell ref="Q11:Q13"/>
    <mergeCell ref="S14:S16"/>
    <mergeCell ref="T14:T16"/>
    <mergeCell ref="O14:O16"/>
    <mergeCell ref="P14:P16"/>
    <mergeCell ref="Q14:Q16"/>
    <mergeCell ref="R14:R16"/>
    <mergeCell ref="O21:O23"/>
    <mergeCell ref="P21:P23"/>
    <mergeCell ref="Q21:Q23"/>
    <mergeCell ref="R21:R23"/>
    <mergeCell ref="S21:S23"/>
    <mergeCell ref="O18:O20"/>
    <mergeCell ref="P18:P20"/>
    <mergeCell ref="Q18:Q20"/>
    <mergeCell ref="R18:R20"/>
    <mergeCell ref="S18:S20"/>
    <mergeCell ref="O24:O26"/>
    <mergeCell ref="P24:P26"/>
    <mergeCell ref="Q24:Q26"/>
    <mergeCell ref="R24:R26"/>
    <mergeCell ref="O27:O29"/>
    <mergeCell ref="P27:P29"/>
    <mergeCell ref="Q27:Q29"/>
    <mergeCell ref="R27:R29"/>
    <mergeCell ref="S36:S38"/>
    <mergeCell ref="O33:O35"/>
    <mergeCell ref="P33:P35"/>
    <mergeCell ref="Q33:Q35"/>
    <mergeCell ref="O36:O38"/>
    <mergeCell ref="P36:P38"/>
    <mergeCell ref="Q36:Q38"/>
  </mergeCells>
  <printOptions horizontalCentered="1" verticalCentered="1"/>
  <pageMargins left="0.25" right="0.25" top="0.75" bottom="0.75" header="0.3" footer="0.3"/>
  <pageSetup paperSize="3" scale="87" fitToHeight="2" orientation="landscape" r:id="rId1"/>
  <headerFooter>
    <oddHeader>&amp;C&amp;"Goudy Old Style Bold,Bold"&amp;14&amp;K000000Adirondack Fragrance Farm Wholesale Order Form (2/2)&amp;R&amp;"Goudy Old Style Italic,Italic"&amp;K000000Version: 2025v.1</oddHeader>
    <oddFooter>&amp;L&amp;"Goudy Old Style Italic,Italic"&amp;K0000001551 State Highway 72, Potsdam, NY 13676 | 315-265-1776&amp;C&amp;"Goudy Old Style,Regular"&amp;K000000&amp;P&amp;R&amp;"Goudy,Regular"Elisabeth@adkfragrancefarm.com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9BE9-28A6-4CC3-8492-29DBC4918A5E}">
  <sheetPr codeName="Sheet6">
    <pageSetUpPr fitToPage="1"/>
  </sheetPr>
  <dimension ref="A1:HW58"/>
  <sheetViews>
    <sheetView showGridLines="0" showRuler="0" zoomScale="70" zoomScaleNormal="70" zoomScalePageLayoutView="70" workbookViewId="0">
      <pane ySplit="6" topLeftCell="A7" activePane="bottomLeft" state="frozen"/>
      <selection pane="bottomLeft" activeCell="C30" sqref="C30"/>
    </sheetView>
  </sheetViews>
  <sheetFormatPr defaultColWidth="8.85546875" defaultRowHeight="30" customHeight="1"/>
  <cols>
    <col min="1" max="1" width="2.7109375" style="17" customWidth="1"/>
    <col min="2" max="2" width="134.42578125" hidden="1" customWidth="1"/>
    <col min="3" max="3" width="75.28515625" bestFit="1" customWidth="1"/>
    <col min="4" max="4" width="20.28515625" bestFit="1" customWidth="1"/>
    <col min="5" max="5" width="9.28515625" customWidth="1"/>
    <col min="6" max="6" width="8.85546875" bestFit="1" customWidth="1"/>
    <col min="7" max="7" width="8.42578125" customWidth="1"/>
    <col min="8" max="8" width="13.42578125" customWidth="1"/>
    <col min="9" max="10" width="11.42578125" bestFit="1" customWidth="1"/>
    <col min="11" max="11" width="9.42578125" style="16" bestFit="1" customWidth="1"/>
    <col min="12" max="12" width="9.42578125" bestFit="1" customWidth="1"/>
    <col min="13" max="13" width="2.7109375" customWidth="1"/>
    <col min="14" max="14" width="6.140625" hidden="1" customWidth="1"/>
    <col min="15" max="50" width="2.42578125" customWidth="1"/>
    <col min="51" max="51" width="3.42578125" bestFit="1" customWidth="1"/>
    <col min="52" max="231" width="2.42578125" customWidth="1"/>
  </cols>
  <sheetData>
    <row r="1" spans="1:231" ht="30" hidden="1" customHeight="1">
      <c r="A1" s="30" t="s">
        <v>533</v>
      </c>
      <c r="B1" s="78" t="s">
        <v>534</v>
      </c>
      <c r="C1" s="78"/>
      <c r="D1" s="77"/>
      <c r="E1" s="74"/>
      <c r="F1" s="74"/>
      <c r="G1" s="74"/>
      <c r="H1" s="74"/>
      <c r="I1" s="74"/>
      <c r="J1" s="74"/>
      <c r="K1" s="76"/>
      <c r="L1" s="75"/>
      <c r="N1" s="74"/>
      <c r="O1" s="20"/>
    </row>
    <row r="2" spans="1:231" ht="30" customHeight="1">
      <c r="A2" s="17" t="s">
        <v>535</v>
      </c>
      <c r="B2" s="73" t="s">
        <v>536</v>
      </c>
      <c r="C2" s="84" t="s">
        <v>537</v>
      </c>
      <c r="D2" s="107"/>
      <c r="O2" s="72"/>
      <c r="P2" s="107"/>
    </row>
    <row r="3" spans="1:231" ht="30" customHeight="1">
      <c r="A3" s="17" t="s">
        <v>538</v>
      </c>
      <c r="B3" s="71"/>
      <c r="C3" s="71"/>
      <c r="D3" s="274" t="s">
        <v>539</v>
      </c>
      <c r="E3" s="275"/>
      <c r="F3" s="109"/>
      <c r="G3" s="109"/>
      <c r="H3" s="274" t="s">
        <v>539</v>
      </c>
      <c r="I3" s="275"/>
      <c r="J3" s="276">
        <v>44221</v>
      </c>
      <c r="K3" s="277"/>
      <c r="L3" s="278"/>
    </row>
    <row r="4" spans="1:231" ht="30" customHeight="1">
      <c r="A4" s="30" t="s">
        <v>540</v>
      </c>
      <c r="D4" s="274" t="s">
        <v>541</v>
      </c>
      <c r="E4" s="275"/>
      <c r="F4" s="109"/>
      <c r="G4" s="109"/>
      <c r="H4" s="274" t="s">
        <v>541</v>
      </c>
      <c r="I4" s="275"/>
      <c r="J4" s="272">
        <v>1</v>
      </c>
      <c r="K4" s="273"/>
      <c r="L4" s="273"/>
      <c r="O4" s="269">
        <f>O5</f>
        <v>44221</v>
      </c>
      <c r="P4" s="270"/>
      <c r="Q4" s="270"/>
      <c r="R4" s="270"/>
      <c r="S4" s="270"/>
      <c r="T4" s="270"/>
      <c r="U4" s="271"/>
      <c r="V4" s="269">
        <f>V5</f>
        <v>44228</v>
      </c>
      <c r="W4" s="270"/>
      <c r="X4" s="270"/>
      <c r="Y4" s="270"/>
      <c r="Z4" s="270"/>
      <c r="AA4" s="270"/>
      <c r="AB4" s="271"/>
      <c r="AC4" s="269">
        <f>AC5</f>
        <v>44235</v>
      </c>
      <c r="AD4" s="270"/>
      <c r="AE4" s="270"/>
      <c r="AF4" s="270"/>
      <c r="AG4" s="270"/>
      <c r="AH4" s="270"/>
      <c r="AI4" s="271"/>
      <c r="AJ4" s="269">
        <f>AJ5</f>
        <v>44242</v>
      </c>
      <c r="AK4" s="270"/>
      <c r="AL4" s="270"/>
      <c r="AM4" s="270"/>
      <c r="AN4" s="270"/>
      <c r="AO4" s="270"/>
      <c r="AP4" s="271"/>
      <c r="AQ4" s="269">
        <f>AQ5</f>
        <v>44249</v>
      </c>
      <c r="AR4" s="270"/>
      <c r="AS4" s="270"/>
      <c r="AT4" s="270"/>
      <c r="AU4" s="270"/>
      <c r="AV4" s="270"/>
      <c r="AW4" s="271"/>
      <c r="AX4" s="269">
        <f>AX5</f>
        <v>44256</v>
      </c>
      <c r="AY4" s="270"/>
      <c r="AZ4" s="270"/>
      <c r="BA4" s="270"/>
      <c r="BB4" s="270"/>
      <c r="BC4" s="270"/>
      <c r="BD4" s="271"/>
      <c r="BE4" s="269">
        <f>BE5</f>
        <v>44263</v>
      </c>
      <c r="BF4" s="270"/>
      <c r="BG4" s="270"/>
      <c r="BH4" s="270"/>
      <c r="BI4" s="270"/>
      <c r="BJ4" s="270"/>
      <c r="BK4" s="271"/>
      <c r="BL4" s="269">
        <f>BL5</f>
        <v>44270</v>
      </c>
      <c r="BM4" s="270"/>
      <c r="BN4" s="270"/>
      <c r="BO4" s="270"/>
      <c r="BP4" s="270"/>
      <c r="BQ4" s="270"/>
      <c r="BR4" s="271"/>
      <c r="BS4" s="269">
        <f>BS5</f>
        <v>44277</v>
      </c>
      <c r="BT4" s="270"/>
      <c r="BU4" s="270"/>
      <c r="BV4" s="270"/>
      <c r="BW4" s="270"/>
      <c r="BX4" s="270"/>
      <c r="BY4" s="271"/>
      <c r="BZ4" s="269">
        <f>BZ5</f>
        <v>44284</v>
      </c>
      <c r="CA4" s="270"/>
      <c r="CB4" s="270"/>
      <c r="CC4" s="270"/>
      <c r="CD4" s="270"/>
      <c r="CE4" s="270"/>
      <c r="CF4" s="271"/>
      <c r="CG4" s="269">
        <f>CG5</f>
        <v>44291</v>
      </c>
      <c r="CH4" s="270"/>
      <c r="CI4" s="270"/>
      <c r="CJ4" s="270"/>
      <c r="CK4" s="270"/>
      <c r="CL4" s="270"/>
      <c r="CM4" s="271"/>
      <c r="CN4" s="269">
        <f>CN5</f>
        <v>44298</v>
      </c>
      <c r="CO4" s="270"/>
      <c r="CP4" s="270"/>
      <c r="CQ4" s="270"/>
      <c r="CR4" s="270"/>
      <c r="CS4" s="270"/>
      <c r="CT4" s="271"/>
      <c r="CU4" s="269">
        <f>CU5</f>
        <v>44305</v>
      </c>
      <c r="CV4" s="270"/>
      <c r="CW4" s="270"/>
      <c r="CX4" s="270"/>
      <c r="CY4" s="270"/>
      <c r="CZ4" s="270"/>
      <c r="DA4" s="271"/>
      <c r="DB4" s="269">
        <f>DB5</f>
        <v>44312</v>
      </c>
      <c r="DC4" s="270"/>
      <c r="DD4" s="270"/>
      <c r="DE4" s="270"/>
      <c r="DF4" s="270"/>
      <c r="DG4" s="270"/>
      <c r="DH4" s="271"/>
      <c r="DI4" s="269">
        <f>DI5</f>
        <v>44319</v>
      </c>
      <c r="DJ4" s="270"/>
      <c r="DK4" s="270"/>
      <c r="DL4" s="270"/>
      <c r="DM4" s="270"/>
      <c r="DN4" s="270"/>
      <c r="DO4" s="271"/>
      <c r="DP4" s="269">
        <f>DP5</f>
        <v>44326</v>
      </c>
      <c r="DQ4" s="270"/>
      <c r="DR4" s="270"/>
      <c r="DS4" s="270"/>
      <c r="DT4" s="270"/>
      <c r="DU4" s="270"/>
      <c r="DV4" s="271"/>
      <c r="DW4" s="269">
        <f>DW5</f>
        <v>44333</v>
      </c>
      <c r="DX4" s="270"/>
      <c r="DY4" s="270"/>
      <c r="DZ4" s="270"/>
      <c r="EA4" s="270"/>
      <c r="EB4" s="270"/>
      <c r="EC4" s="271"/>
      <c r="ED4" s="269">
        <f>ED5</f>
        <v>44340</v>
      </c>
      <c r="EE4" s="270"/>
      <c r="EF4" s="270"/>
      <c r="EG4" s="270"/>
      <c r="EH4" s="270"/>
      <c r="EI4" s="270"/>
      <c r="EJ4" s="271"/>
      <c r="EK4" s="269">
        <f>EK5</f>
        <v>44347</v>
      </c>
      <c r="EL4" s="270"/>
      <c r="EM4" s="270"/>
      <c r="EN4" s="270"/>
      <c r="EO4" s="270"/>
      <c r="EP4" s="270"/>
      <c r="EQ4" s="271"/>
      <c r="ER4" s="269">
        <f>ER5</f>
        <v>44354</v>
      </c>
      <c r="ES4" s="270"/>
      <c r="ET4" s="270"/>
      <c r="EU4" s="270"/>
      <c r="EV4" s="270"/>
      <c r="EW4" s="270"/>
      <c r="EX4" s="271"/>
      <c r="EY4" s="269">
        <f>EY5</f>
        <v>44361</v>
      </c>
      <c r="EZ4" s="270"/>
      <c r="FA4" s="270"/>
      <c r="FB4" s="270"/>
      <c r="FC4" s="270"/>
      <c r="FD4" s="270"/>
      <c r="FE4" s="271"/>
      <c r="FF4" s="269">
        <f>FF5</f>
        <v>44368</v>
      </c>
      <c r="FG4" s="270"/>
      <c r="FH4" s="270"/>
      <c r="FI4" s="270"/>
      <c r="FJ4" s="270"/>
      <c r="FK4" s="270"/>
      <c r="FL4" s="271"/>
      <c r="FM4" s="269">
        <f>FM5</f>
        <v>44375</v>
      </c>
      <c r="FN4" s="270"/>
      <c r="FO4" s="270"/>
      <c r="FP4" s="270"/>
      <c r="FQ4" s="270"/>
      <c r="FR4" s="270"/>
      <c r="FS4" s="271"/>
      <c r="FT4" s="269">
        <f>FT5</f>
        <v>44382</v>
      </c>
      <c r="FU4" s="270"/>
      <c r="FV4" s="270"/>
      <c r="FW4" s="270"/>
      <c r="FX4" s="270"/>
      <c r="FY4" s="270"/>
      <c r="FZ4" s="271"/>
      <c r="GA4" s="269">
        <f>GA5</f>
        <v>44389</v>
      </c>
      <c r="GB4" s="270"/>
      <c r="GC4" s="270"/>
      <c r="GD4" s="270"/>
      <c r="GE4" s="270"/>
      <c r="GF4" s="270"/>
      <c r="GG4" s="271"/>
      <c r="GH4" s="269">
        <f>GH5</f>
        <v>44396</v>
      </c>
      <c r="GI4" s="270"/>
      <c r="GJ4" s="270"/>
      <c r="GK4" s="270"/>
      <c r="GL4" s="270"/>
      <c r="GM4" s="270"/>
      <c r="GN4" s="271"/>
      <c r="GO4" s="269">
        <f>GO5</f>
        <v>44403</v>
      </c>
      <c r="GP4" s="270"/>
      <c r="GQ4" s="270"/>
      <c r="GR4" s="270"/>
      <c r="GS4" s="270"/>
      <c r="GT4" s="270"/>
      <c r="GU4" s="271"/>
      <c r="GV4" s="269">
        <f>GV5</f>
        <v>44410</v>
      </c>
      <c r="GW4" s="270"/>
      <c r="GX4" s="270"/>
      <c r="GY4" s="270"/>
      <c r="GZ4" s="270"/>
      <c r="HA4" s="270"/>
      <c r="HB4" s="271"/>
      <c r="HC4" s="269">
        <f>HC5</f>
        <v>44417</v>
      </c>
      <c r="HD4" s="270"/>
      <c r="HE4" s="270"/>
      <c r="HF4" s="270"/>
      <c r="HG4" s="270"/>
      <c r="HH4" s="270"/>
      <c r="HI4" s="271"/>
      <c r="HJ4" s="269">
        <f>HJ5</f>
        <v>44424</v>
      </c>
      <c r="HK4" s="270"/>
      <c r="HL4" s="270"/>
      <c r="HM4" s="270"/>
      <c r="HN4" s="270"/>
      <c r="HO4" s="270"/>
      <c r="HP4" s="271"/>
      <c r="HQ4" s="269">
        <f>HQ5</f>
        <v>44431</v>
      </c>
      <c r="HR4" s="270"/>
      <c r="HS4" s="270"/>
      <c r="HT4" s="270"/>
      <c r="HU4" s="270"/>
      <c r="HV4" s="270"/>
      <c r="HW4" s="271"/>
    </row>
    <row r="5" spans="1:231" ht="15" customHeight="1">
      <c r="A5" s="30" t="s">
        <v>542</v>
      </c>
      <c r="B5" s="279"/>
      <c r="C5" s="279"/>
      <c r="D5" s="279"/>
      <c r="E5" s="279"/>
      <c r="F5" s="279"/>
      <c r="G5" s="279"/>
      <c r="H5" s="279"/>
      <c r="I5" s="279"/>
      <c r="J5" s="279"/>
      <c r="K5" s="279"/>
      <c r="L5" s="279"/>
      <c r="M5" s="279"/>
      <c r="O5" s="70">
        <f>Project_Start-WEEKDAY(Project_Start,1)+2+7*(Display_Week-1)</f>
        <v>44221</v>
      </c>
      <c r="P5" s="69">
        <f t="shared" ref="P5:CA5" si="0">O5+1</f>
        <v>44222</v>
      </c>
      <c r="Q5" s="69">
        <f t="shared" si="0"/>
        <v>44223</v>
      </c>
      <c r="R5" s="69">
        <f t="shared" si="0"/>
        <v>44224</v>
      </c>
      <c r="S5" s="69">
        <f t="shared" si="0"/>
        <v>44225</v>
      </c>
      <c r="T5" s="69">
        <f t="shared" si="0"/>
        <v>44226</v>
      </c>
      <c r="U5" s="68">
        <f t="shared" si="0"/>
        <v>44227</v>
      </c>
      <c r="V5" s="70">
        <f t="shared" si="0"/>
        <v>44228</v>
      </c>
      <c r="W5" s="69">
        <f t="shared" si="0"/>
        <v>44229</v>
      </c>
      <c r="X5" s="69">
        <f t="shared" si="0"/>
        <v>44230</v>
      </c>
      <c r="Y5" s="69">
        <f t="shared" si="0"/>
        <v>44231</v>
      </c>
      <c r="Z5" s="69">
        <f t="shared" si="0"/>
        <v>44232</v>
      </c>
      <c r="AA5" s="69">
        <f t="shared" si="0"/>
        <v>44233</v>
      </c>
      <c r="AB5" s="68">
        <f t="shared" si="0"/>
        <v>44234</v>
      </c>
      <c r="AC5" s="70">
        <f t="shared" si="0"/>
        <v>44235</v>
      </c>
      <c r="AD5" s="69">
        <f t="shared" si="0"/>
        <v>44236</v>
      </c>
      <c r="AE5" s="69">
        <f t="shared" si="0"/>
        <v>44237</v>
      </c>
      <c r="AF5" s="69">
        <f t="shared" si="0"/>
        <v>44238</v>
      </c>
      <c r="AG5" s="69">
        <f t="shared" si="0"/>
        <v>44239</v>
      </c>
      <c r="AH5" s="69">
        <f t="shared" si="0"/>
        <v>44240</v>
      </c>
      <c r="AI5" s="68">
        <f t="shared" si="0"/>
        <v>44241</v>
      </c>
      <c r="AJ5" s="70">
        <f t="shared" si="0"/>
        <v>44242</v>
      </c>
      <c r="AK5" s="69">
        <f t="shared" si="0"/>
        <v>44243</v>
      </c>
      <c r="AL5" s="69">
        <f t="shared" si="0"/>
        <v>44244</v>
      </c>
      <c r="AM5" s="69">
        <f t="shared" si="0"/>
        <v>44245</v>
      </c>
      <c r="AN5" s="69">
        <f t="shared" si="0"/>
        <v>44246</v>
      </c>
      <c r="AO5" s="69">
        <f t="shared" si="0"/>
        <v>44247</v>
      </c>
      <c r="AP5" s="68">
        <f t="shared" si="0"/>
        <v>44248</v>
      </c>
      <c r="AQ5" s="70">
        <f t="shared" si="0"/>
        <v>44249</v>
      </c>
      <c r="AR5" s="69">
        <f t="shared" si="0"/>
        <v>44250</v>
      </c>
      <c r="AS5" s="69">
        <f t="shared" si="0"/>
        <v>44251</v>
      </c>
      <c r="AT5" s="69">
        <f t="shared" si="0"/>
        <v>44252</v>
      </c>
      <c r="AU5" s="69">
        <f t="shared" si="0"/>
        <v>44253</v>
      </c>
      <c r="AV5" s="69">
        <f t="shared" si="0"/>
        <v>44254</v>
      </c>
      <c r="AW5" s="68">
        <f t="shared" si="0"/>
        <v>44255</v>
      </c>
      <c r="AX5" s="70">
        <f t="shared" si="0"/>
        <v>44256</v>
      </c>
      <c r="AY5" s="69">
        <f t="shared" si="0"/>
        <v>44257</v>
      </c>
      <c r="AZ5" s="69">
        <f t="shared" si="0"/>
        <v>44258</v>
      </c>
      <c r="BA5" s="69">
        <f t="shared" si="0"/>
        <v>44259</v>
      </c>
      <c r="BB5" s="69">
        <f t="shared" si="0"/>
        <v>44260</v>
      </c>
      <c r="BC5" s="69">
        <f t="shared" si="0"/>
        <v>44261</v>
      </c>
      <c r="BD5" s="68">
        <f t="shared" si="0"/>
        <v>44262</v>
      </c>
      <c r="BE5" s="70">
        <f t="shared" si="0"/>
        <v>44263</v>
      </c>
      <c r="BF5" s="69">
        <f t="shared" si="0"/>
        <v>44264</v>
      </c>
      <c r="BG5" s="69">
        <f t="shared" si="0"/>
        <v>44265</v>
      </c>
      <c r="BH5" s="69">
        <f t="shared" si="0"/>
        <v>44266</v>
      </c>
      <c r="BI5" s="69">
        <f t="shared" si="0"/>
        <v>44267</v>
      </c>
      <c r="BJ5" s="69">
        <f t="shared" si="0"/>
        <v>44268</v>
      </c>
      <c r="BK5" s="68">
        <f t="shared" si="0"/>
        <v>44269</v>
      </c>
      <c r="BL5" s="70">
        <f t="shared" si="0"/>
        <v>44270</v>
      </c>
      <c r="BM5" s="69">
        <f t="shared" si="0"/>
        <v>44271</v>
      </c>
      <c r="BN5" s="69">
        <f t="shared" si="0"/>
        <v>44272</v>
      </c>
      <c r="BO5" s="69">
        <f t="shared" si="0"/>
        <v>44273</v>
      </c>
      <c r="BP5" s="69">
        <f t="shared" si="0"/>
        <v>44274</v>
      </c>
      <c r="BQ5" s="69">
        <f t="shared" si="0"/>
        <v>44275</v>
      </c>
      <c r="BR5" s="68">
        <f t="shared" si="0"/>
        <v>44276</v>
      </c>
      <c r="BS5" s="70">
        <f t="shared" si="0"/>
        <v>44277</v>
      </c>
      <c r="BT5" s="69">
        <f t="shared" si="0"/>
        <v>44278</v>
      </c>
      <c r="BU5" s="69">
        <f t="shared" si="0"/>
        <v>44279</v>
      </c>
      <c r="BV5" s="69">
        <f t="shared" si="0"/>
        <v>44280</v>
      </c>
      <c r="BW5" s="69">
        <f t="shared" si="0"/>
        <v>44281</v>
      </c>
      <c r="BX5" s="69">
        <f t="shared" si="0"/>
        <v>44282</v>
      </c>
      <c r="BY5" s="68">
        <f t="shared" si="0"/>
        <v>44283</v>
      </c>
      <c r="BZ5" s="70">
        <f t="shared" si="0"/>
        <v>44284</v>
      </c>
      <c r="CA5" s="69">
        <f t="shared" si="0"/>
        <v>44285</v>
      </c>
      <c r="CB5" s="69">
        <f t="shared" ref="CB5:EM5" si="1">CA5+1</f>
        <v>44286</v>
      </c>
      <c r="CC5" s="69">
        <f t="shared" si="1"/>
        <v>44287</v>
      </c>
      <c r="CD5" s="69">
        <f t="shared" si="1"/>
        <v>44288</v>
      </c>
      <c r="CE5" s="69">
        <f t="shared" si="1"/>
        <v>44289</v>
      </c>
      <c r="CF5" s="68">
        <f t="shared" si="1"/>
        <v>44290</v>
      </c>
      <c r="CG5" s="70">
        <f t="shared" si="1"/>
        <v>44291</v>
      </c>
      <c r="CH5" s="69">
        <f t="shared" si="1"/>
        <v>44292</v>
      </c>
      <c r="CI5" s="69">
        <f t="shared" si="1"/>
        <v>44293</v>
      </c>
      <c r="CJ5" s="69">
        <f t="shared" si="1"/>
        <v>44294</v>
      </c>
      <c r="CK5" s="69">
        <f t="shared" si="1"/>
        <v>44295</v>
      </c>
      <c r="CL5" s="69">
        <f t="shared" si="1"/>
        <v>44296</v>
      </c>
      <c r="CM5" s="68">
        <f t="shared" si="1"/>
        <v>44297</v>
      </c>
      <c r="CN5" s="70">
        <f t="shared" si="1"/>
        <v>44298</v>
      </c>
      <c r="CO5" s="69">
        <f t="shared" si="1"/>
        <v>44299</v>
      </c>
      <c r="CP5" s="69">
        <f t="shared" si="1"/>
        <v>44300</v>
      </c>
      <c r="CQ5" s="69">
        <f t="shared" si="1"/>
        <v>44301</v>
      </c>
      <c r="CR5" s="69">
        <f t="shared" si="1"/>
        <v>44302</v>
      </c>
      <c r="CS5" s="69">
        <f t="shared" si="1"/>
        <v>44303</v>
      </c>
      <c r="CT5" s="68">
        <f t="shared" si="1"/>
        <v>44304</v>
      </c>
      <c r="CU5" s="70">
        <f t="shared" si="1"/>
        <v>44305</v>
      </c>
      <c r="CV5" s="69">
        <f t="shared" si="1"/>
        <v>44306</v>
      </c>
      <c r="CW5" s="69">
        <f t="shared" si="1"/>
        <v>44307</v>
      </c>
      <c r="CX5" s="69">
        <f t="shared" si="1"/>
        <v>44308</v>
      </c>
      <c r="CY5" s="69">
        <f t="shared" si="1"/>
        <v>44309</v>
      </c>
      <c r="CZ5" s="69">
        <f t="shared" si="1"/>
        <v>44310</v>
      </c>
      <c r="DA5" s="68">
        <f t="shared" si="1"/>
        <v>44311</v>
      </c>
      <c r="DB5" s="70">
        <f t="shared" si="1"/>
        <v>44312</v>
      </c>
      <c r="DC5" s="69">
        <f t="shared" si="1"/>
        <v>44313</v>
      </c>
      <c r="DD5" s="69">
        <f t="shared" si="1"/>
        <v>44314</v>
      </c>
      <c r="DE5" s="69">
        <f t="shared" si="1"/>
        <v>44315</v>
      </c>
      <c r="DF5" s="69">
        <f t="shared" si="1"/>
        <v>44316</v>
      </c>
      <c r="DG5" s="69">
        <f t="shared" si="1"/>
        <v>44317</v>
      </c>
      <c r="DH5" s="68">
        <f t="shared" si="1"/>
        <v>44318</v>
      </c>
      <c r="DI5" s="70">
        <f t="shared" si="1"/>
        <v>44319</v>
      </c>
      <c r="DJ5" s="69">
        <f t="shared" si="1"/>
        <v>44320</v>
      </c>
      <c r="DK5" s="69">
        <f t="shared" si="1"/>
        <v>44321</v>
      </c>
      <c r="DL5" s="69">
        <f t="shared" si="1"/>
        <v>44322</v>
      </c>
      <c r="DM5" s="69">
        <f t="shared" si="1"/>
        <v>44323</v>
      </c>
      <c r="DN5" s="69">
        <f t="shared" si="1"/>
        <v>44324</v>
      </c>
      <c r="DO5" s="68">
        <f t="shared" si="1"/>
        <v>44325</v>
      </c>
      <c r="DP5" s="70">
        <f t="shared" si="1"/>
        <v>44326</v>
      </c>
      <c r="DQ5" s="69">
        <f t="shared" si="1"/>
        <v>44327</v>
      </c>
      <c r="DR5" s="69">
        <f t="shared" si="1"/>
        <v>44328</v>
      </c>
      <c r="DS5" s="69">
        <f t="shared" si="1"/>
        <v>44329</v>
      </c>
      <c r="DT5" s="69">
        <f t="shared" si="1"/>
        <v>44330</v>
      </c>
      <c r="DU5" s="69">
        <f t="shared" si="1"/>
        <v>44331</v>
      </c>
      <c r="DV5" s="68">
        <f t="shared" si="1"/>
        <v>44332</v>
      </c>
      <c r="DW5" s="70">
        <f t="shared" si="1"/>
        <v>44333</v>
      </c>
      <c r="DX5" s="69">
        <f t="shared" si="1"/>
        <v>44334</v>
      </c>
      <c r="DY5" s="69">
        <f t="shared" si="1"/>
        <v>44335</v>
      </c>
      <c r="DZ5" s="69">
        <f t="shared" si="1"/>
        <v>44336</v>
      </c>
      <c r="EA5" s="69">
        <f t="shared" si="1"/>
        <v>44337</v>
      </c>
      <c r="EB5" s="69">
        <f t="shared" si="1"/>
        <v>44338</v>
      </c>
      <c r="EC5" s="68">
        <f t="shared" si="1"/>
        <v>44339</v>
      </c>
      <c r="ED5" s="70">
        <f t="shared" si="1"/>
        <v>44340</v>
      </c>
      <c r="EE5" s="69">
        <f t="shared" si="1"/>
        <v>44341</v>
      </c>
      <c r="EF5" s="69">
        <f t="shared" si="1"/>
        <v>44342</v>
      </c>
      <c r="EG5" s="69">
        <f t="shared" si="1"/>
        <v>44343</v>
      </c>
      <c r="EH5" s="69">
        <f t="shared" si="1"/>
        <v>44344</v>
      </c>
      <c r="EI5" s="69">
        <f t="shared" si="1"/>
        <v>44345</v>
      </c>
      <c r="EJ5" s="68">
        <f t="shared" si="1"/>
        <v>44346</v>
      </c>
      <c r="EK5" s="70">
        <f t="shared" si="1"/>
        <v>44347</v>
      </c>
      <c r="EL5" s="69">
        <f t="shared" si="1"/>
        <v>44348</v>
      </c>
      <c r="EM5" s="69">
        <f t="shared" si="1"/>
        <v>44349</v>
      </c>
      <c r="EN5" s="69">
        <f t="shared" ref="EN5:GY5" si="2">EM5+1</f>
        <v>44350</v>
      </c>
      <c r="EO5" s="69">
        <f t="shared" si="2"/>
        <v>44351</v>
      </c>
      <c r="EP5" s="69">
        <f t="shared" si="2"/>
        <v>44352</v>
      </c>
      <c r="EQ5" s="68">
        <f t="shared" si="2"/>
        <v>44353</v>
      </c>
      <c r="ER5" s="70">
        <f t="shared" si="2"/>
        <v>44354</v>
      </c>
      <c r="ES5" s="69">
        <f t="shared" si="2"/>
        <v>44355</v>
      </c>
      <c r="ET5" s="69">
        <f t="shared" si="2"/>
        <v>44356</v>
      </c>
      <c r="EU5" s="69">
        <f t="shared" si="2"/>
        <v>44357</v>
      </c>
      <c r="EV5" s="69">
        <f t="shared" si="2"/>
        <v>44358</v>
      </c>
      <c r="EW5" s="69">
        <f t="shared" si="2"/>
        <v>44359</v>
      </c>
      <c r="EX5" s="68">
        <f t="shared" si="2"/>
        <v>44360</v>
      </c>
      <c r="EY5" s="70">
        <f t="shared" si="2"/>
        <v>44361</v>
      </c>
      <c r="EZ5" s="69">
        <f t="shared" si="2"/>
        <v>44362</v>
      </c>
      <c r="FA5" s="69">
        <f t="shared" si="2"/>
        <v>44363</v>
      </c>
      <c r="FB5" s="69">
        <f t="shared" si="2"/>
        <v>44364</v>
      </c>
      <c r="FC5" s="69">
        <f t="shared" si="2"/>
        <v>44365</v>
      </c>
      <c r="FD5" s="69">
        <f t="shared" si="2"/>
        <v>44366</v>
      </c>
      <c r="FE5" s="68">
        <f t="shared" si="2"/>
        <v>44367</v>
      </c>
      <c r="FF5" s="70">
        <f t="shared" si="2"/>
        <v>44368</v>
      </c>
      <c r="FG5" s="69">
        <f t="shared" si="2"/>
        <v>44369</v>
      </c>
      <c r="FH5" s="69">
        <f t="shared" si="2"/>
        <v>44370</v>
      </c>
      <c r="FI5" s="69">
        <f t="shared" si="2"/>
        <v>44371</v>
      </c>
      <c r="FJ5" s="69">
        <f t="shared" si="2"/>
        <v>44372</v>
      </c>
      <c r="FK5" s="69">
        <f t="shared" si="2"/>
        <v>44373</v>
      </c>
      <c r="FL5" s="68">
        <f t="shared" si="2"/>
        <v>44374</v>
      </c>
      <c r="FM5" s="70">
        <f t="shared" si="2"/>
        <v>44375</v>
      </c>
      <c r="FN5" s="69">
        <f t="shared" si="2"/>
        <v>44376</v>
      </c>
      <c r="FO5" s="69">
        <f t="shared" si="2"/>
        <v>44377</v>
      </c>
      <c r="FP5" s="69">
        <f t="shared" si="2"/>
        <v>44378</v>
      </c>
      <c r="FQ5" s="69">
        <f t="shared" si="2"/>
        <v>44379</v>
      </c>
      <c r="FR5" s="69">
        <f t="shared" si="2"/>
        <v>44380</v>
      </c>
      <c r="FS5" s="68">
        <f t="shared" si="2"/>
        <v>44381</v>
      </c>
      <c r="FT5" s="70">
        <f t="shared" si="2"/>
        <v>44382</v>
      </c>
      <c r="FU5" s="69">
        <f t="shared" si="2"/>
        <v>44383</v>
      </c>
      <c r="FV5" s="69">
        <f t="shared" si="2"/>
        <v>44384</v>
      </c>
      <c r="FW5" s="69">
        <f t="shared" si="2"/>
        <v>44385</v>
      </c>
      <c r="FX5" s="69">
        <f t="shared" si="2"/>
        <v>44386</v>
      </c>
      <c r="FY5" s="69">
        <f t="shared" si="2"/>
        <v>44387</v>
      </c>
      <c r="FZ5" s="68">
        <f t="shared" si="2"/>
        <v>44388</v>
      </c>
      <c r="GA5" s="70">
        <f t="shared" si="2"/>
        <v>44389</v>
      </c>
      <c r="GB5" s="69">
        <f t="shared" si="2"/>
        <v>44390</v>
      </c>
      <c r="GC5" s="69">
        <f t="shared" si="2"/>
        <v>44391</v>
      </c>
      <c r="GD5" s="69">
        <f t="shared" si="2"/>
        <v>44392</v>
      </c>
      <c r="GE5" s="69">
        <f t="shared" si="2"/>
        <v>44393</v>
      </c>
      <c r="GF5" s="69">
        <f t="shared" si="2"/>
        <v>44394</v>
      </c>
      <c r="GG5" s="68">
        <f t="shared" si="2"/>
        <v>44395</v>
      </c>
      <c r="GH5" s="70">
        <f t="shared" si="2"/>
        <v>44396</v>
      </c>
      <c r="GI5" s="69">
        <f t="shared" si="2"/>
        <v>44397</v>
      </c>
      <c r="GJ5" s="69">
        <f t="shared" si="2"/>
        <v>44398</v>
      </c>
      <c r="GK5" s="69">
        <f t="shared" si="2"/>
        <v>44399</v>
      </c>
      <c r="GL5" s="69">
        <f t="shared" si="2"/>
        <v>44400</v>
      </c>
      <c r="GM5" s="69">
        <f t="shared" si="2"/>
        <v>44401</v>
      </c>
      <c r="GN5" s="68">
        <f t="shared" si="2"/>
        <v>44402</v>
      </c>
      <c r="GO5" s="70">
        <f t="shared" si="2"/>
        <v>44403</v>
      </c>
      <c r="GP5" s="69">
        <f t="shared" si="2"/>
        <v>44404</v>
      </c>
      <c r="GQ5" s="69">
        <f t="shared" si="2"/>
        <v>44405</v>
      </c>
      <c r="GR5" s="69">
        <f t="shared" si="2"/>
        <v>44406</v>
      </c>
      <c r="GS5" s="69">
        <f t="shared" si="2"/>
        <v>44407</v>
      </c>
      <c r="GT5" s="69">
        <f t="shared" si="2"/>
        <v>44408</v>
      </c>
      <c r="GU5" s="68">
        <f t="shared" si="2"/>
        <v>44409</v>
      </c>
      <c r="GV5" s="70">
        <f t="shared" si="2"/>
        <v>44410</v>
      </c>
      <c r="GW5" s="69">
        <f t="shared" si="2"/>
        <v>44411</v>
      </c>
      <c r="GX5" s="69">
        <f t="shared" si="2"/>
        <v>44412</v>
      </c>
      <c r="GY5" s="69">
        <f t="shared" si="2"/>
        <v>44413</v>
      </c>
      <c r="GZ5" s="69">
        <f t="shared" ref="GZ5:HW5" si="3">GY5+1</f>
        <v>44414</v>
      </c>
      <c r="HA5" s="69">
        <f t="shared" si="3"/>
        <v>44415</v>
      </c>
      <c r="HB5" s="68">
        <f t="shared" si="3"/>
        <v>44416</v>
      </c>
      <c r="HC5" s="70">
        <f t="shared" si="3"/>
        <v>44417</v>
      </c>
      <c r="HD5" s="69">
        <f t="shared" si="3"/>
        <v>44418</v>
      </c>
      <c r="HE5" s="69">
        <f t="shared" si="3"/>
        <v>44419</v>
      </c>
      <c r="HF5" s="69">
        <f t="shared" si="3"/>
        <v>44420</v>
      </c>
      <c r="HG5" s="69">
        <f t="shared" si="3"/>
        <v>44421</v>
      </c>
      <c r="HH5" s="69">
        <f t="shared" si="3"/>
        <v>44422</v>
      </c>
      <c r="HI5" s="68">
        <f t="shared" si="3"/>
        <v>44423</v>
      </c>
      <c r="HJ5" s="70">
        <f t="shared" si="3"/>
        <v>44424</v>
      </c>
      <c r="HK5" s="69">
        <f t="shared" si="3"/>
        <v>44425</v>
      </c>
      <c r="HL5" s="69">
        <f t="shared" si="3"/>
        <v>44426</v>
      </c>
      <c r="HM5" s="69">
        <f t="shared" si="3"/>
        <v>44427</v>
      </c>
      <c r="HN5" s="69">
        <f t="shared" si="3"/>
        <v>44428</v>
      </c>
      <c r="HO5" s="69">
        <f t="shared" si="3"/>
        <v>44429</v>
      </c>
      <c r="HP5" s="68">
        <f t="shared" si="3"/>
        <v>44430</v>
      </c>
      <c r="HQ5" s="70">
        <f t="shared" si="3"/>
        <v>44431</v>
      </c>
      <c r="HR5" s="69">
        <f t="shared" si="3"/>
        <v>44432</v>
      </c>
      <c r="HS5" s="69">
        <f t="shared" si="3"/>
        <v>44433</v>
      </c>
      <c r="HT5" s="69">
        <f t="shared" si="3"/>
        <v>44434</v>
      </c>
      <c r="HU5" s="69">
        <f t="shared" si="3"/>
        <v>44435</v>
      </c>
      <c r="HV5" s="69">
        <f t="shared" si="3"/>
        <v>44436</v>
      </c>
      <c r="HW5" s="68">
        <f t="shared" si="3"/>
        <v>44437</v>
      </c>
    </row>
    <row r="6" spans="1:231" ht="30" customHeight="1" thickBot="1">
      <c r="A6" s="30" t="s">
        <v>543</v>
      </c>
      <c r="B6" s="67" t="s">
        <v>544</v>
      </c>
      <c r="C6" s="67" t="s">
        <v>545</v>
      </c>
      <c r="D6" s="66" t="s">
        <v>546</v>
      </c>
      <c r="E6" s="66" t="s">
        <v>547</v>
      </c>
      <c r="F6" s="66" t="s">
        <v>548</v>
      </c>
      <c r="G6" s="66" t="s">
        <v>549</v>
      </c>
      <c r="H6" s="66" t="s">
        <v>550</v>
      </c>
      <c r="I6" s="66" t="s">
        <v>551</v>
      </c>
      <c r="J6" s="66" t="s">
        <v>552</v>
      </c>
      <c r="K6" s="66" t="s">
        <v>553</v>
      </c>
      <c r="L6" s="66" t="s">
        <v>554</v>
      </c>
      <c r="M6" s="66"/>
      <c r="N6" s="66" t="s">
        <v>555</v>
      </c>
      <c r="O6" s="65" t="str">
        <f t="shared" ref="O6:BZ6" si="4">LEFT(TEXT(O5,"ddd"),1)</f>
        <v>M</v>
      </c>
      <c r="P6" s="65" t="str">
        <f t="shared" si="4"/>
        <v>T</v>
      </c>
      <c r="Q6" s="65" t="str">
        <f t="shared" si="4"/>
        <v>W</v>
      </c>
      <c r="R6" s="65" t="str">
        <f t="shared" si="4"/>
        <v>T</v>
      </c>
      <c r="S6" s="65" t="str">
        <f t="shared" si="4"/>
        <v>F</v>
      </c>
      <c r="T6" s="65" t="str">
        <f t="shared" si="4"/>
        <v>S</v>
      </c>
      <c r="U6" s="65" t="str">
        <f t="shared" si="4"/>
        <v>S</v>
      </c>
      <c r="V6" s="65" t="str">
        <f t="shared" si="4"/>
        <v>M</v>
      </c>
      <c r="W6" s="65" t="str">
        <f t="shared" si="4"/>
        <v>T</v>
      </c>
      <c r="X6" s="65" t="str">
        <f t="shared" si="4"/>
        <v>W</v>
      </c>
      <c r="Y6" s="65" t="str">
        <f t="shared" si="4"/>
        <v>T</v>
      </c>
      <c r="Z6" s="65" t="str">
        <f t="shared" si="4"/>
        <v>F</v>
      </c>
      <c r="AA6" s="65" t="str">
        <f t="shared" si="4"/>
        <v>S</v>
      </c>
      <c r="AB6" s="65" t="str">
        <f t="shared" si="4"/>
        <v>S</v>
      </c>
      <c r="AC6" s="65" t="str">
        <f t="shared" si="4"/>
        <v>M</v>
      </c>
      <c r="AD6" s="65" t="str">
        <f t="shared" si="4"/>
        <v>T</v>
      </c>
      <c r="AE6" s="65" t="str">
        <f t="shared" si="4"/>
        <v>W</v>
      </c>
      <c r="AF6" s="65" t="str">
        <f t="shared" si="4"/>
        <v>T</v>
      </c>
      <c r="AG6" s="65" t="str">
        <f t="shared" si="4"/>
        <v>F</v>
      </c>
      <c r="AH6" s="65" t="str">
        <f t="shared" si="4"/>
        <v>S</v>
      </c>
      <c r="AI6" s="65" t="str">
        <f t="shared" si="4"/>
        <v>S</v>
      </c>
      <c r="AJ6" s="65" t="str">
        <f t="shared" si="4"/>
        <v>M</v>
      </c>
      <c r="AK6" s="65" t="str">
        <f t="shared" si="4"/>
        <v>T</v>
      </c>
      <c r="AL6" s="65" t="str">
        <f t="shared" si="4"/>
        <v>W</v>
      </c>
      <c r="AM6" s="65" t="str">
        <f t="shared" si="4"/>
        <v>T</v>
      </c>
      <c r="AN6" s="65" t="str">
        <f t="shared" si="4"/>
        <v>F</v>
      </c>
      <c r="AO6" s="65" t="str">
        <f t="shared" si="4"/>
        <v>S</v>
      </c>
      <c r="AP6" s="65" t="str">
        <f t="shared" si="4"/>
        <v>S</v>
      </c>
      <c r="AQ6" s="65" t="str">
        <f t="shared" si="4"/>
        <v>M</v>
      </c>
      <c r="AR6" s="65" t="str">
        <f t="shared" si="4"/>
        <v>T</v>
      </c>
      <c r="AS6" s="65" t="str">
        <f t="shared" si="4"/>
        <v>W</v>
      </c>
      <c r="AT6" s="65" t="str">
        <f t="shared" si="4"/>
        <v>T</v>
      </c>
      <c r="AU6" s="65" t="str">
        <f t="shared" si="4"/>
        <v>F</v>
      </c>
      <c r="AV6" s="65" t="str">
        <f t="shared" si="4"/>
        <v>S</v>
      </c>
      <c r="AW6" s="65" t="str">
        <f t="shared" si="4"/>
        <v>S</v>
      </c>
      <c r="AX6" s="65" t="str">
        <f t="shared" si="4"/>
        <v>M</v>
      </c>
      <c r="AY6" s="65" t="str">
        <f t="shared" si="4"/>
        <v>T</v>
      </c>
      <c r="AZ6" s="65" t="str">
        <f t="shared" si="4"/>
        <v>W</v>
      </c>
      <c r="BA6" s="65" t="str">
        <f t="shared" si="4"/>
        <v>T</v>
      </c>
      <c r="BB6" s="65" t="str">
        <f t="shared" si="4"/>
        <v>F</v>
      </c>
      <c r="BC6" s="65" t="str">
        <f t="shared" si="4"/>
        <v>S</v>
      </c>
      <c r="BD6" s="65" t="str">
        <f t="shared" si="4"/>
        <v>S</v>
      </c>
      <c r="BE6" s="65" t="str">
        <f t="shared" si="4"/>
        <v>M</v>
      </c>
      <c r="BF6" s="65" t="str">
        <f t="shared" si="4"/>
        <v>T</v>
      </c>
      <c r="BG6" s="65" t="str">
        <f t="shared" si="4"/>
        <v>W</v>
      </c>
      <c r="BH6" s="65" t="str">
        <f t="shared" si="4"/>
        <v>T</v>
      </c>
      <c r="BI6" s="65" t="str">
        <f t="shared" si="4"/>
        <v>F</v>
      </c>
      <c r="BJ6" s="65" t="str">
        <f t="shared" si="4"/>
        <v>S</v>
      </c>
      <c r="BK6" s="65" t="str">
        <f t="shared" si="4"/>
        <v>S</v>
      </c>
      <c r="BL6" s="65" t="str">
        <f t="shared" si="4"/>
        <v>M</v>
      </c>
      <c r="BM6" s="65" t="str">
        <f t="shared" si="4"/>
        <v>T</v>
      </c>
      <c r="BN6" s="65" t="str">
        <f t="shared" si="4"/>
        <v>W</v>
      </c>
      <c r="BO6" s="65" t="str">
        <f t="shared" si="4"/>
        <v>T</v>
      </c>
      <c r="BP6" s="65" t="str">
        <f t="shared" si="4"/>
        <v>F</v>
      </c>
      <c r="BQ6" s="65" t="str">
        <f t="shared" si="4"/>
        <v>S</v>
      </c>
      <c r="BR6" s="65" t="str">
        <f t="shared" si="4"/>
        <v>S</v>
      </c>
      <c r="BS6" s="65" t="str">
        <f t="shared" si="4"/>
        <v>M</v>
      </c>
      <c r="BT6" s="65" t="str">
        <f t="shared" si="4"/>
        <v>T</v>
      </c>
      <c r="BU6" s="65" t="str">
        <f t="shared" si="4"/>
        <v>W</v>
      </c>
      <c r="BV6" s="65" t="str">
        <f t="shared" si="4"/>
        <v>T</v>
      </c>
      <c r="BW6" s="65" t="str">
        <f t="shared" si="4"/>
        <v>F</v>
      </c>
      <c r="BX6" s="65" t="str">
        <f t="shared" si="4"/>
        <v>S</v>
      </c>
      <c r="BY6" s="65" t="str">
        <f t="shared" si="4"/>
        <v>S</v>
      </c>
      <c r="BZ6" s="65" t="str">
        <f t="shared" si="4"/>
        <v>M</v>
      </c>
      <c r="CA6" s="65" t="str">
        <f t="shared" ref="CA6:EL6" si="5">LEFT(TEXT(CA5,"ddd"),1)</f>
        <v>T</v>
      </c>
      <c r="CB6" s="65" t="str">
        <f t="shared" si="5"/>
        <v>W</v>
      </c>
      <c r="CC6" s="65" t="str">
        <f t="shared" si="5"/>
        <v>T</v>
      </c>
      <c r="CD6" s="65" t="str">
        <f t="shared" si="5"/>
        <v>F</v>
      </c>
      <c r="CE6" s="65" t="str">
        <f t="shared" si="5"/>
        <v>S</v>
      </c>
      <c r="CF6" s="65" t="str">
        <f t="shared" si="5"/>
        <v>S</v>
      </c>
      <c r="CG6" s="65" t="str">
        <f t="shared" si="5"/>
        <v>M</v>
      </c>
      <c r="CH6" s="65" t="str">
        <f t="shared" si="5"/>
        <v>T</v>
      </c>
      <c r="CI6" s="65" t="str">
        <f t="shared" si="5"/>
        <v>W</v>
      </c>
      <c r="CJ6" s="65" t="str">
        <f t="shared" si="5"/>
        <v>T</v>
      </c>
      <c r="CK6" s="65" t="str">
        <f t="shared" si="5"/>
        <v>F</v>
      </c>
      <c r="CL6" s="65" t="str">
        <f t="shared" si="5"/>
        <v>S</v>
      </c>
      <c r="CM6" s="65" t="str">
        <f t="shared" si="5"/>
        <v>S</v>
      </c>
      <c r="CN6" s="65" t="str">
        <f t="shared" si="5"/>
        <v>M</v>
      </c>
      <c r="CO6" s="65" t="str">
        <f t="shared" si="5"/>
        <v>T</v>
      </c>
      <c r="CP6" s="65" t="str">
        <f t="shared" si="5"/>
        <v>W</v>
      </c>
      <c r="CQ6" s="65" t="str">
        <f t="shared" si="5"/>
        <v>T</v>
      </c>
      <c r="CR6" s="65" t="str">
        <f t="shared" si="5"/>
        <v>F</v>
      </c>
      <c r="CS6" s="65" t="str">
        <f t="shared" si="5"/>
        <v>S</v>
      </c>
      <c r="CT6" s="65" t="str">
        <f t="shared" si="5"/>
        <v>S</v>
      </c>
      <c r="CU6" s="65" t="str">
        <f t="shared" si="5"/>
        <v>M</v>
      </c>
      <c r="CV6" s="65" t="str">
        <f t="shared" si="5"/>
        <v>T</v>
      </c>
      <c r="CW6" s="65" t="str">
        <f t="shared" si="5"/>
        <v>W</v>
      </c>
      <c r="CX6" s="65" t="str">
        <f t="shared" si="5"/>
        <v>T</v>
      </c>
      <c r="CY6" s="65" t="str">
        <f t="shared" si="5"/>
        <v>F</v>
      </c>
      <c r="CZ6" s="65" t="str">
        <f t="shared" si="5"/>
        <v>S</v>
      </c>
      <c r="DA6" s="65" t="str">
        <f t="shared" si="5"/>
        <v>S</v>
      </c>
      <c r="DB6" s="65" t="str">
        <f t="shared" si="5"/>
        <v>M</v>
      </c>
      <c r="DC6" s="65" t="str">
        <f t="shared" si="5"/>
        <v>T</v>
      </c>
      <c r="DD6" s="65" t="str">
        <f t="shared" si="5"/>
        <v>W</v>
      </c>
      <c r="DE6" s="65" t="str">
        <f t="shared" si="5"/>
        <v>T</v>
      </c>
      <c r="DF6" s="65" t="str">
        <f t="shared" si="5"/>
        <v>F</v>
      </c>
      <c r="DG6" s="65" t="str">
        <f t="shared" si="5"/>
        <v>S</v>
      </c>
      <c r="DH6" s="65" t="str">
        <f t="shared" si="5"/>
        <v>S</v>
      </c>
      <c r="DI6" s="65" t="str">
        <f t="shared" si="5"/>
        <v>M</v>
      </c>
      <c r="DJ6" s="65" t="str">
        <f t="shared" si="5"/>
        <v>T</v>
      </c>
      <c r="DK6" s="65" t="str">
        <f t="shared" si="5"/>
        <v>W</v>
      </c>
      <c r="DL6" s="65" t="str">
        <f t="shared" si="5"/>
        <v>T</v>
      </c>
      <c r="DM6" s="65" t="str">
        <f t="shared" si="5"/>
        <v>F</v>
      </c>
      <c r="DN6" s="65" t="str">
        <f t="shared" si="5"/>
        <v>S</v>
      </c>
      <c r="DO6" s="65" t="str">
        <f t="shared" si="5"/>
        <v>S</v>
      </c>
      <c r="DP6" s="65" t="str">
        <f t="shared" si="5"/>
        <v>M</v>
      </c>
      <c r="DQ6" s="65" t="str">
        <f t="shared" si="5"/>
        <v>T</v>
      </c>
      <c r="DR6" s="65" t="str">
        <f t="shared" si="5"/>
        <v>W</v>
      </c>
      <c r="DS6" s="65" t="str">
        <f t="shared" si="5"/>
        <v>T</v>
      </c>
      <c r="DT6" s="65" t="str">
        <f t="shared" si="5"/>
        <v>F</v>
      </c>
      <c r="DU6" s="65" t="str">
        <f t="shared" si="5"/>
        <v>S</v>
      </c>
      <c r="DV6" s="65" t="str">
        <f t="shared" si="5"/>
        <v>S</v>
      </c>
      <c r="DW6" s="65" t="str">
        <f t="shared" si="5"/>
        <v>M</v>
      </c>
      <c r="DX6" s="65" t="str">
        <f t="shared" si="5"/>
        <v>T</v>
      </c>
      <c r="DY6" s="65" t="str">
        <f t="shared" si="5"/>
        <v>W</v>
      </c>
      <c r="DZ6" s="65" t="str">
        <f t="shared" si="5"/>
        <v>T</v>
      </c>
      <c r="EA6" s="65" t="str">
        <f t="shared" si="5"/>
        <v>F</v>
      </c>
      <c r="EB6" s="65" t="str">
        <f t="shared" si="5"/>
        <v>S</v>
      </c>
      <c r="EC6" s="65" t="str">
        <f t="shared" si="5"/>
        <v>S</v>
      </c>
      <c r="ED6" s="65" t="str">
        <f t="shared" si="5"/>
        <v>M</v>
      </c>
      <c r="EE6" s="65" t="str">
        <f t="shared" si="5"/>
        <v>T</v>
      </c>
      <c r="EF6" s="65" t="str">
        <f t="shared" si="5"/>
        <v>W</v>
      </c>
      <c r="EG6" s="65" t="str">
        <f t="shared" si="5"/>
        <v>T</v>
      </c>
      <c r="EH6" s="65" t="str">
        <f t="shared" si="5"/>
        <v>F</v>
      </c>
      <c r="EI6" s="65" t="str">
        <f t="shared" si="5"/>
        <v>S</v>
      </c>
      <c r="EJ6" s="65" t="str">
        <f t="shared" si="5"/>
        <v>S</v>
      </c>
      <c r="EK6" s="65" t="str">
        <f t="shared" si="5"/>
        <v>M</v>
      </c>
      <c r="EL6" s="65" t="str">
        <f t="shared" si="5"/>
        <v>T</v>
      </c>
      <c r="EM6" s="65" t="str">
        <f t="shared" ref="EM6:GX6" si="6">LEFT(TEXT(EM5,"ddd"),1)</f>
        <v>W</v>
      </c>
      <c r="EN6" s="65" t="str">
        <f t="shared" si="6"/>
        <v>T</v>
      </c>
      <c r="EO6" s="65" t="str">
        <f t="shared" si="6"/>
        <v>F</v>
      </c>
      <c r="EP6" s="65" t="str">
        <f t="shared" si="6"/>
        <v>S</v>
      </c>
      <c r="EQ6" s="65" t="str">
        <f t="shared" si="6"/>
        <v>S</v>
      </c>
      <c r="ER6" s="65" t="str">
        <f t="shared" si="6"/>
        <v>M</v>
      </c>
      <c r="ES6" s="65" t="str">
        <f t="shared" si="6"/>
        <v>T</v>
      </c>
      <c r="ET6" s="65" t="str">
        <f t="shared" si="6"/>
        <v>W</v>
      </c>
      <c r="EU6" s="65" t="str">
        <f t="shared" si="6"/>
        <v>T</v>
      </c>
      <c r="EV6" s="65" t="str">
        <f t="shared" si="6"/>
        <v>F</v>
      </c>
      <c r="EW6" s="65" t="str">
        <f t="shared" si="6"/>
        <v>S</v>
      </c>
      <c r="EX6" s="65" t="str">
        <f t="shared" si="6"/>
        <v>S</v>
      </c>
      <c r="EY6" s="65" t="str">
        <f t="shared" si="6"/>
        <v>M</v>
      </c>
      <c r="EZ6" s="65" t="str">
        <f t="shared" si="6"/>
        <v>T</v>
      </c>
      <c r="FA6" s="65" t="str">
        <f t="shared" si="6"/>
        <v>W</v>
      </c>
      <c r="FB6" s="65" t="str">
        <f t="shared" si="6"/>
        <v>T</v>
      </c>
      <c r="FC6" s="65" t="str">
        <f t="shared" si="6"/>
        <v>F</v>
      </c>
      <c r="FD6" s="65" t="str">
        <f t="shared" si="6"/>
        <v>S</v>
      </c>
      <c r="FE6" s="65" t="str">
        <f t="shared" si="6"/>
        <v>S</v>
      </c>
      <c r="FF6" s="65" t="str">
        <f t="shared" si="6"/>
        <v>M</v>
      </c>
      <c r="FG6" s="65" t="str">
        <f t="shared" si="6"/>
        <v>T</v>
      </c>
      <c r="FH6" s="65" t="str">
        <f t="shared" si="6"/>
        <v>W</v>
      </c>
      <c r="FI6" s="65" t="str">
        <f t="shared" si="6"/>
        <v>T</v>
      </c>
      <c r="FJ6" s="65" t="str">
        <f t="shared" si="6"/>
        <v>F</v>
      </c>
      <c r="FK6" s="65" t="str">
        <f t="shared" si="6"/>
        <v>S</v>
      </c>
      <c r="FL6" s="65" t="str">
        <f t="shared" si="6"/>
        <v>S</v>
      </c>
      <c r="FM6" s="65" t="str">
        <f t="shared" si="6"/>
        <v>M</v>
      </c>
      <c r="FN6" s="65" t="str">
        <f t="shared" si="6"/>
        <v>T</v>
      </c>
      <c r="FO6" s="65" t="str">
        <f t="shared" si="6"/>
        <v>W</v>
      </c>
      <c r="FP6" s="65" t="str">
        <f t="shared" si="6"/>
        <v>T</v>
      </c>
      <c r="FQ6" s="65" t="str">
        <f t="shared" si="6"/>
        <v>F</v>
      </c>
      <c r="FR6" s="65" t="str">
        <f t="shared" si="6"/>
        <v>S</v>
      </c>
      <c r="FS6" s="65" t="str">
        <f t="shared" si="6"/>
        <v>S</v>
      </c>
      <c r="FT6" s="65" t="str">
        <f t="shared" si="6"/>
        <v>M</v>
      </c>
      <c r="FU6" s="65" t="str">
        <f t="shared" si="6"/>
        <v>T</v>
      </c>
      <c r="FV6" s="65" t="str">
        <f t="shared" si="6"/>
        <v>W</v>
      </c>
      <c r="FW6" s="65" t="str">
        <f t="shared" si="6"/>
        <v>T</v>
      </c>
      <c r="FX6" s="65" t="str">
        <f t="shared" si="6"/>
        <v>F</v>
      </c>
      <c r="FY6" s="65" t="str">
        <f t="shared" si="6"/>
        <v>S</v>
      </c>
      <c r="FZ6" s="65" t="str">
        <f t="shared" si="6"/>
        <v>S</v>
      </c>
      <c r="GA6" s="65" t="str">
        <f t="shared" si="6"/>
        <v>M</v>
      </c>
      <c r="GB6" s="65" t="str">
        <f t="shared" si="6"/>
        <v>T</v>
      </c>
      <c r="GC6" s="65" t="str">
        <f t="shared" si="6"/>
        <v>W</v>
      </c>
      <c r="GD6" s="65" t="str">
        <f t="shared" si="6"/>
        <v>T</v>
      </c>
      <c r="GE6" s="65" t="str">
        <f t="shared" si="6"/>
        <v>F</v>
      </c>
      <c r="GF6" s="65" t="str">
        <f t="shared" si="6"/>
        <v>S</v>
      </c>
      <c r="GG6" s="65" t="str">
        <f t="shared" si="6"/>
        <v>S</v>
      </c>
      <c r="GH6" s="65" t="str">
        <f t="shared" si="6"/>
        <v>M</v>
      </c>
      <c r="GI6" s="65" t="str">
        <f t="shared" si="6"/>
        <v>T</v>
      </c>
      <c r="GJ6" s="65" t="str">
        <f t="shared" si="6"/>
        <v>W</v>
      </c>
      <c r="GK6" s="65" t="str">
        <f t="shared" si="6"/>
        <v>T</v>
      </c>
      <c r="GL6" s="65" t="str">
        <f t="shared" si="6"/>
        <v>F</v>
      </c>
      <c r="GM6" s="65" t="str">
        <f t="shared" si="6"/>
        <v>S</v>
      </c>
      <c r="GN6" s="65" t="str">
        <f t="shared" si="6"/>
        <v>S</v>
      </c>
      <c r="GO6" s="65" t="str">
        <f t="shared" si="6"/>
        <v>M</v>
      </c>
      <c r="GP6" s="65" t="str">
        <f t="shared" si="6"/>
        <v>T</v>
      </c>
      <c r="GQ6" s="65" t="str">
        <f t="shared" si="6"/>
        <v>W</v>
      </c>
      <c r="GR6" s="65" t="str">
        <f t="shared" si="6"/>
        <v>T</v>
      </c>
      <c r="GS6" s="65" t="str">
        <f t="shared" si="6"/>
        <v>F</v>
      </c>
      <c r="GT6" s="65" t="str">
        <f t="shared" si="6"/>
        <v>S</v>
      </c>
      <c r="GU6" s="65" t="str">
        <f t="shared" si="6"/>
        <v>S</v>
      </c>
      <c r="GV6" s="65" t="str">
        <f t="shared" si="6"/>
        <v>M</v>
      </c>
      <c r="GW6" s="65" t="str">
        <f t="shared" si="6"/>
        <v>T</v>
      </c>
      <c r="GX6" s="65" t="str">
        <f t="shared" si="6"/>
        <v>W</v>
      </c>
      <c r="GY6" s="65" t="str">
        <f t="shared" ref="GY6:HW6" si="7">LEFT(TEXT(GY5,"ddd"),1)</f>
        <v>T</v>
      </c>
      <c r="GZ6" s="65" t="str">
        <f t="shared" si="7"/>
        <v>F</v>
      </c>
      <c r="HA6" s="65" t="str">
        <f t="shared" si="7"/>
        <v>S</v>
      </c>
      <c r="HB6" s="65" t="str">
        <f t="shared" si="7"/>
        <v>S</v>
      </c>
      <c r="HC6" s="65" t="str">
        <f t="shared" si="7"/>
        <v>M</v>
      </c>
      <c r="HD6" s="65" t="str">
        <f t="shared" si="7"/>
        <v>T</v>
      </c>
      <c r="HE6" s="65" t="str">
        <f t="shared" si="7"/>
        <v>W</v>
      </c>
      <c r="HF6" s="65" t="str">
        <f t="shared" si="7"/>
        <v>T</v>
      </c>
      <c r="HG6" s="65" t="str">
        <f t="shared" si="7"/>
        <v>F</v>
      </c>
      <c r="HH6" s="65" t="str">
        <f t="shared" si="7"/>
        <v>S</v>
      </c>
      <c r="HI6" s="65" t="str">
        <f t="shared" si="7"/>
        <v>S</v>
      </c>
      <c r="HJ6" s="65" t="str">
        <f t="shared" si="7"/>
        <v>M</v>
      </c>
      <c r="HK6" s="65" t="str">
        <f t="shared" si="7"/>
        <v>T</v>
      </c>
      <c r="HL6" s="65" t="str">
        <f t="shared" si="7"/>
        <v>W</v>
      </c>
      <c r="HM6" s="65" t="str">
        <f t="shared" si="7"/>
        <v>T</v>
      </c>
      <c r="HN6" s="65" t="str">
        <f t="shared" si="7"/>
        <v>F</v>
      </c>
      <c r="HO6" s="65" t="str">
        <f t="shared" si="7"/>
        <v>S</v>
      </c>
      <c r="HP6" s="65" t="str">
        <f t="shared" si="7"/>
        <v>S</v>
      </c>
      <c r="HQ6" s="65" t="str">
        <f t="shared" si="7"/>
        <v>M</v>
      </c>
      <c r="HR6" s="65" t="str">
        <f t="shared" si="7"/>
        <v>T</v>
      </c>
      <c r="HS6" s="65" t="str">
        <f t="shared" si="7"/>
        <v>W</v>
      </c>
      <c r="HT6" s="65" t="str">
        <f t="shared" si="7"/>
        <v>T</v>
      </c>
      <c r="HU6" s="65" t="str">
        <f t="shared" si="7"/>
        <v>F</v>
      </c>
      <c r="HV6" s="65" t="str">
        <f t="shared" si="7"/>
        <v>S</v>
      </c>
      <c r="HW6" s="65" t="str">
        <f t="shared" si="7"/>
        <v>S</v>
      </c>
    </row>
    <row r="7" spans="1:231" ht="30" hidden="1" customHeight="1" thickBot="1">
      <c r="A7" s="17" t="s">
        <v>556</v>
      </c>
      <c r="D7" s="64"/>
      <c r="K7"/>
      <c r="N7" t="str">
        <f ca="1">IF(OR(ISBLANK(task_start),ISBLANK(task_end)),"",task_end-task_start+1)</f>
        <v/>
      </c>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row>
    <row r="8" spans="1:231" s="22" customFormat="1" ht="30" customHeight="1" thickBot="1">
      <c r="A8" s="30" t="s">
        <v>557</v>
      </c>
      <c r="B8" s="63" t="s">
        <v>558</v>
      </c>
      <c r="C8" s="63" t="s">
        <v>558</v>
      </c>
      <c r="D8" s="62"/>
      <c r="E8" s="88">
        <f>SUM(E9:E22)</f>
        <v>796</v>
      </c>
      <c r="F8" s="87" t="e">
        <f>SUM(F9:F22)</f>
        <v>#REF!</v>
      </c>
      <c r="G8" s="80" t="e">
        <f>SUM(F9:F22)/SUM(E9:E22)</f>
        <v>#REF!</v>
      </c>
      <c r="H8" s="61">
        <f>SUMPRODUCT(H9:H22,E9:E22)/E8</f>
        <v>1</v>
      </c>
      <c r="I8" s="86">
        <v>44151</v>
      </c>
      <c r="J8" s="86">
        <v>44188</v>
      </c>
      <c r="K8" s="60">
        <v>44151</v>
      </c>
      <c r="L8" s="59">
        <v>44204</v>
      </c>
      <c r="M8" s="32"/>
      <c r="N8" s="32">
        <f ca="1">IF(OR(ISBLANK(task_start),ISBLANK(task_end)),"",task_end-task_start+1)</f>
        <v>54</v>
      </c>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c r="EK8" s="31"/>
      <c r="EL8" s="31"/>
      <c r="EM8" s="31"/>
      <c r="EN8" s="31"/>
      <c r="EO8" s="31"/>
      <c r="EP8" s="31"/>
      <c r="EQ8" s="31"/>
      <c r="ER8" s="31"/>
      <c r="ES8" s="31"/>
      <c r="ET8" s="31"/>
      <c r="EU8" s="31"/>
      <c r="EV8" s="31"/>
      <c r="EW8" s="31"/>
      <c r="EX8" s="31"/>
      <c r="EY8" s="31"/>
      <c r="EZ8" s="31"/>
      <c r="FA8" s="31"/>
      <c r="FB8" s="31"/>
      <c r="FC8" s="31"/>
      <c r="FD8" s="31"/>
      <c r="FE8" s="31"/>
      <c r="FF8" s="31"/>
      <c r="FG8" s="31"/>
      <c r="FH8" s="31"/>
      <c r="FI8" s="31"/>
      <c r="FJ8" s="31"/>
      <c r="FK8" s="31"/>
      <c r="FL8" s="31"/>
      <c r="FM8" s="31"/>
      <c r="FN8" s="31"/>
      <c r="FO8" s="31"/>
      <c r="FP8" s="31"/>
      <c r="FQ8" s="31"/>
      <c r="FR8" s="31"/>
      <c r="FS8" s="31"/>
      <c r="FT8" s="31"/>
      <c r="FU8" s="31"/>
      <c r="FV8" s="31"/>
      <c r="FW8" s="31"/>
      <c r="FX8" s="31"/>
      <c r="FY8" s="31"/>
      <c r="FZ8" s="31"/>
      <c r="GA8" s="31"/>
      <c r="GB8" s="31"/>
      <c r="GC8" s="31"/>
      <c r="GD8" s="31"/>
      <c r="GE8" s="31"/>
      <c r="GF8" s="31"/>
      <c r="GG8" s="31"/>
      <c r="GH8" s="31"/>
      <c r="GI8" s="31"/>
      <c r="GJ8" s="31"/>
      <c r="GK8" s="31"/>
      <c r="GL8" s="31"/>
      <c r="GM8" s="31"/>
      <c r="GN8" s="31"/>
      <c r="GO8" s="31"/>
      <c r="GP8" s="31"/>
      <c r="GQ8" s="31"/>
      <c r="GR8" s="31"/>
      <c r="GS8" s="31"/>
      <c r="GT8" s="31"/>
      <c r="GU8" s="31"/>
      <c r="GV8" s="31"/>
      <c r="GW8" s="31"/>
      <c r="GX8" s="31"/>
      <c r="GY8" s="31"/>
      <c r="GZ8" s="31"/>
      <c r="HA8" s="31"/>
      <c r="HB8" s="31"/>
      <c r="HC8" s="31"/>
      <c r="HD8" s="31"/>
      <c r="HE8" s="31"/>
      <c r="HF8" s="31"/>
      <c r="HG8" s="31"/>
      <c r="HH8" s="31"/>
      <c r="HI8" s="31"/>
      <c r="HJ8" s="31"/>
      <c r="HK8" s="31"/>
      <c r="HL8" s="31"/>
      <c r="HM8" s="31"/>
      <c r="HN8" s="31"/>
      <c r="HO8" s="31"/>
      <c r="HP8" s="31"/>
      <c r="HQ8" s="31"/>
      <c r="HR8" s="31"/>
      <c r="HS8" s="31"/>
      <c r="HT8" s="31"/>
      <c r="HU8" s="31"/>
      <c r="HV8" s="31"/>
      <c r="HW8" s="31"/>
    </row>
    <row r="9" spans="1:231" s="22" customFormat="1" ht="24.95" hidden="1" customHeight="1" thickBot="1">
      <c r="A9" s="30" t="s">
        <v>559</v>
      </c>
      <c r="B9" s="58" t="s">
        <v>560</v>
      </c>
      <c r="C9" s="58" t="s">
        <v>561</v>
      </c>
      <c r="D9" s="57" t="s">
        <v>562</v>
      </c>
      <c r="E9" s="82">
        <v>100</v>
      </c>
      <c r="F9" s="81" t="e">
        <f>SUMIF(#REF!,'Project Schedule Phase 1 Old'!C9,#REF!)</f>
        <v>#REF!</v>
      </c>
      <c r="G9" s="56" t="e">
        <f t="shared" ref="G9:G22" si="8">F9/E9</f>
        <v>#REF!</v>
      </c>
      <c r="H9" s="56">
        <v>1</v>
      </c>
      <c r="I9" s="55">
        <f>Project_Start</f>
        <v>44221</v>
      </c>
      <c r="J9" s="55">
        <f>I9+8</f>
        <v>44229</v>
      </c>
      <c r="K9" s="55">
        <f>Project_Start</f>
        <v>44221</v>
      </c>
      <c r="L9" s="55">
        <f>K9+15</f>
        <v>44236</v>
      </c>
      <c r="M9" s="32"/>
      <c r="N9" s="32">
        <f ca="1">IF(OR(ISBLANK(task_start),ISBLANK(task_end)),"",task_end-task_start+1)</f>
        <v>16</v>
      </c>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1"/>
      <c r="FK9" s="31"/>
      <c r="FL9" s="31"/>
      <c r="FM9" s="31"/>
      <c r="FN9" s="31"/>
      <c r="FO9" s="31"/>
      <c r="FP9" s="31"/>
      <c r="FQ9" s="31"/>
      <c r="FR9" s="31"/>
      <c r="FS9" s="31"/>
      <c r="FT9" s="31"/>
      <c r="FU9" s="31"/>
      <c r="FV9" s="31"/>
      <c r="FW9" s="31"/>
      <c r="FX9" s="31"/>
      <c r="FY9" s="31"/>
      <c r="FZ9" s="31"/>
      <c r="GA9" s="31"/>
      <c r="GB9" s="31"/>
      <c r="GC9" s="31"/>
      <c r="GD9" s="31"/>
      <c r="GE9" s="31"/>
      <c r="GF9" s="31"/>
      <c r="GG9" s="31"/>
      <c r="GH9" s="31"/>
      <c r="GI9" s="31"/>
      <c r="GJ9" s="31"/>
      <c r="GK9" s="31"/>
      <c r="GL9" s="31"/>
      <c r="GM9" s="31"/>
      <c r="GN9" s="31"/>
      <c r="GO9" s="31"/>
      <c r="GP9" s="31"/>
      <c r="GQ9" s="31"/>
      <c r="GR9" s="31"/>
      <c r="GS9" s="31"/>
      <c r="GT9" s="31"/>
      <c r="GU9" s="31"/>
      <c r="GV9" s="31"/>
      <c r="GW9" s="31"/>
      <c r="GX9" s="31"/>
      <c r="GY9" s="31"/>
      <c r="GZ9" s="31"/>
      <c r="HA9" s="31"/>
      <c r="HB9" s="31"/>
      <c r="HC9" s="31"/>
      <c r="HD9" s="31"/>
      <c r="HE9" s="31"/>
      <c r="HF9" s="31"/>
      <c r="HG9" s="31"/>
      <c r="HH9" s="31"/>
      <c r="HI9" s="31"/>
      <c r="HJ9" s="31"/>
      <c r="HK9" s="31"/>
      <c r="HL9" s="31"/>
      <c r="HM9" s="31"/>
      <c r="HN9" s="31"/>
      <c r="HO9" s="31"/>
      <c r="HP9" s="31"/>
      <c r="HQ9" s="31"/>
      <c r="HR9" s="31"/>
      <c r="HS9" s="31"/>
      <c r="HT9" s="31"/>
      <c r="HU9" s="31"/>
      <c r="HV9" s="31"/>
      <c r="HW9" s="31"/>
    </row>
    <row r="10" spans="1:231" s="22" customFormat="1" ht="24.95" hidden="1" customHeight="1" thickBot="1">
      <c r="A10" s="30" t="s">
        <v>563</v>
      </c>
      <c r="B10" s="79" t="s">
        <v>564</v>
      </c>
      <c r="C10" s="79" t="s">
        <v>565</v>
      </c>
      <c r="D10" s="57" t="s">
        <v>562</v>
      </c>
      <c r="E10" s="82">
        <v>160</v>
      </c>
      <c r="F10" s="81" t="e">
        <f>SUMIF(#REF!,'Project Schedule Phase 1 Old'!C10,#REF!)</f>
        <v>#REF!</v>
      </c>
      <c r="G10" s="56" t="e">
        <f t="shared" si="8"/>
        <v>#REF!</v>
      </c>
      <c r="H10" s="56">
        <v>1</v>
      </c>
      <c r="I10" s="55">
        <f>Project_Start</f>
        <v>44221</v>
      </c>
      <c r="J10" s="55">
        <v>44169</v>
      </c>
      <c r="K10" s="55">
        <v>44151</v>
      </c>
      <c r="L10" s="55">
        <v>44176</v>
      </c>
      <c r="M10" s="32"/>
      <c r="N10" s="32">
        <f ca="1">IF(OR(ISBLANK(task_start),ISBLANK(task_end)),"",task_end-task_start+1)</f>
        <v>26</v>
      </c>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row>
    <row r="11" spans="1:231" s="22" customFormat="1" ht="24.95" hidden="1" customHeight="1" thickBot="1">
      <c r="A11" s="17"/>
      <c r="B11" s="58" t="s">
        <v>566</v>
      </c>
      <c r="C11" s="58" t="s">
        <v>567</v>
      </c>
      <c r="D11" s="57" t="s">
        <v>562</v>
      </c>
      <c r="E11" s="82">
        <v>80</v>
      </c>
      <c r="F11" s="81" t="e">
        <f>SUMIF(#REF!,'Project Schedule Phase 1 Old'!C11,#REF!)</f>
        <v>#REF!</v>
      </c>
      <c r="G11" s="56" t="e">
        <f t="shared" si="8"/>
        <v>#REF!</v>
      </c>
      <c r="H11" s="56">
        <v>1</v>
      </c>
      <c r="I11" s="55">
        <f>Project_Start+7</f>
        <v>44228</v>
      </c>
      <c r="J11" s="55">
        <v>44169</v>
      </c>
      <c r="K11" s="55" t="e">
        <v>#REF!</v>
      </c>
      <c r="L11" s="55">
        <v>44176</v>
      </c>
      <c r="M11" s="32"/>
      <c r="N11" s="32" t="e">
        <f ca="1">IF(OR(ISBLANK(task_start),ISBLANK(task_end)),"",task_end-task_start+1)</f>
        <v>#REF!</v>
      </c>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c r="HD11" s="31"/>
      <c r="HE11" s="31"/>
      <c r="HF11" s="31"/>
      <c r="HG11" s="31"/>
      <c r="HH11" s="31"/>
      <c r="HI11" s="31"/>
      <c r="HJ11" s="31"/>
      <c r="HK11" s="31"/>
      <c r="HL11" s="31"/>
      <c r="HM11" s="31"/>
      <c r="HN11" s="31"/>
      <c r="HO11" s="31"/>
      <c r="HP11" s="31"/>
      <c r="HQ11" s="31"/>
      <c r="HR11" s="31"/>
      <c r="HS11" s="31"/>
      <c r="HT11" s="31"/>
      <c r="HU11" s="31"/>
      <c r="HV11" s="31"/>
      <c r="HW11" s="31"/>
    </row>
    <row r="12" spans="1:231" s="22" customFormat="1" ht="24.95" hidden="1" customHeight="1" thickBot="1">
      <c r="A12" s="17"/>
      <c r="B12" s="58" t="s">
        <v>568</v>
      </c>
      <c r="C12" s="58" t="s">
        <v>569</v>
      </c>
      <c r="D12" s="57" t="s">
        <v>562</v>
      </c>
      <c r="E12" s="82">
        <v>40</v>
      </c>
      <c r="F12" s="81" t="e">
        <f>SUMIF(#REF!,'Project Schedule Phase 1 Old'!C12,#REF!)</f>
        <v>#REF!</v>
      </c>
      <c r="G12" s="56" t="e">
        <f t="shared" si="8"/>
        <v>#REF!</v>
      </c>
      <c r="H12" s="56">
        <v>1</v>
      </c>
      <c r="I12" s="55">
        <f>Project_Start+7</f>
        <v>44228</v>
      </c>
      <c r="J12" s="55">
        <v>44162</v>
      </c>
      <c r="K12" s="55" t="e">
        <v>#REF!</v>
      </c>
      <c r="L12" s="55">
        <v>44195</v>
      </c>
      <c r="M12" s="32"/>
      <c r="N12" s="32"/>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row>
    <row r="13" spans="1:231" s="22" customFormat="1" ht="24.95" hidden="1" customHeight="1" thickBot="1">
      <c r="A13" s="17"/>
      <c r="B13" s="58" t="s">
        <v>570</v>
      </c>
      <c r="C13" s="58" t="s">
        <v>571</v>
      </c>
      <c r="D13" s="57" t="s">
        <v>562</v>
      </c>
      <c r="E13" s="82">
        <v>60</v>
      </c>
      <c r="F13" s="81" t="e">
        <f>SUMIF(#REF!,'Project Schedule Phase 1 Old'!C13,#REF!)</f>
        <v>#REF!</v>
      </c>
      <c r="G13" s="56" t="e">
        <f t="shared" si="8"/>
        <v>#REF!</v>
      </c>
      <c r="H13" s="56">
        <v>1</v>
      </c>
      <c r="I13" s="83">
        <f>J11+3-7</f>
        <v>44165</v>
      </c>
      <c r="J13" s="83">
        <f>I13+11+7</f>
        <v>44183</v>
      </c>
      <c r="K13" s="55">
        <v>44168</v>
      </c>
      <c r="L13" s="55">
        <v>44204</v>
      </c>
      <c r="M13" s="32"/>
      <c r="N13" s="32"/>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c r="HD13" s="31"/>
      <c r="HE13" s="31"/>
      <c r="HF13" s="31"/>
      <c r="HG13" s="31"/>
      <c r="HH13" s="31"/>
      <c r="HI13" s="31"/>
      <c r="HJ13" s="31"/>
      <c r="HK13" s="31"/>
      <c r="HL13" s="31"/>
      <c r="HM13" s="31"/>
      <c r="HN13" s="31"/>
      <c r="HO13" s="31"/>
      <c r="HP13" s="31"/>
      <c r="HQ13" s="31"/>
      <c r="HR13" s="31"/>
      <c r="HS13" s="31"/>
      <c r="HT13" s="31"/>
      <c r="HU13" s="31"/>
      <c r="HV13" s="31"/>
      <c r="HW13" s="31"/>
    </row>
    <row r="14" spans="1:231" s="22" customFormat="1" ht="24.95" hidden="1" customHeight="1" thickBot="1">
      <c r="A14" s="17"/>
      <c r="B14" s="58" t="s">
        <v>572</v>
      </c>
      <c r="C14" s="58" t="s">
        <v>573</v>
      </c>
      <c r="D14" s="57" t="s">
        <v>562</v>
      </c>
      <c r="E14" s="82">
        <v>80</v>
      </c>
      <c r="F14" s="81" t="e">
        <f>SUMIF(#REF!,'Project Schedule Phase 1 Old'!C14,#REF!)</f>
        <v>#REF!</v>
      </c>
      <c r="G14" s="56" t="e">
        <f t="shared" si="8"/>
        <v>#REF!</v>
      </c>
      <c r="H14" s="56">
        <v>1</v>
      </c>
      <c r="I14" s="83">
        <f>$J$11+3</f>
        <v>44172</v>
      </c>
      <c r="J14" s="83">
        <f>I14+11</f>
        <v>44183</v>
      </c>
      <c r="K14" s="55">
        <v>44166</v>
      </c>
      <c r="L14" s="55">
        <v>44199</v>
      </c>
      <c r="M14" s="32"/>
      <c r="N14" s="32"/>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c r="GG14" s="31"/>
      <c r="GH14" s="31"/>
      <c r="GI14" s="31"/>
      <c r="GJ14" s="31"/>
      <c r="GK14" s="31"/>
      <c r="GL14" s="31"/>
      <c r="GM14" s="31"/>
      <c r="GN14" s="31"/>
      <c r="GO14" s="31"/>
      <c r="GP14" s="31"/>
      <c r="GQ14" s="31"/>
      <c r="GR14" s="31"/>
      <c r="GS14" s="31"/>
      <c r="GT14" s="31"/>
      <c r="GU14" s="31"/>
      <c r="GV14" s="31"/>
      <c r="GW14" s="31"/>
      <c r="GX14" s="31"/>
      <c r="GY14" s="31"/>
      <c r="GZ14" s="31"/>
      <c r="HA14" s="31"/>
      <c r="HB14" s="31"/>
      <c r="HC14" s="31"/>
      <c r="HD14" s="31"/>
      <c r="HE14" s="31"/>
      <c r="HF14" s="31"/>
      <c r="HG14" s="31"/>
      <c r="HH14" s="31"/>
      <c r="HI14" s="31"/>
      <c r="HJ14" s="31"/>
      <c r="HK14" s="31"/>
      <c r="HL14" s="31"/>
      <c r="HM14" s="31"/>
      <c r="HN14" s="31"/>
      <c r="HO14" s="31"/>
      <c r="HP14" s="31"/>
      <c r="HQ14" s="31"/>
      <c r="HR14" s="31"/>
      <c r="HS14" s="31"/>
      <c r="HT14" s="31"/>
      <c r="HU14" s="31"/>
      <c r="HV14" s="31"/>
      <c r="HW14" s="31"/>
    </row>
    <row r="15" spans="1:231" s="22" customFormat="1" ht="24.95" hidden="1" customHeight="1" thickBot="1">
      <c r="A15" s="17"/>
      <c r="B15" s="58" t="s">
        <v>574</v>
      </c>
      <c r="C15" s="58" t="s">
        <v>575</v>
      </c>
      <c r="D15" s="57" t="s">
        <v>562</v>
      </c>
      <c r="E15" s="82">
        <v>20</v>
      </c>
      <c r="F15" s="81" t="e">
        <f>SUMIF(#REF!,'Project Schedule Phase 1 Old'!C15,#REF!)</f>
        <v>#REF!</v>
      </c>
      <c r="G15" s="56" t="e">
        <f t="shared" si="8"/>
        <v>#REF!</v>
      </c>
      <c r="H15" s="56">
        <v>1</v>
      </c>
      <c r="I15" s="83">
        <f>$J$11+10</f>
        <v>44179</v>
      </c>
      <c r="J15" s="83">
        <f>I15+4</f>
        <v>44183</v>
      </c>
      <c r="K15" s="83">
        <f>$J$11+10</f>
        <v>44179</v>
      </c>
      <c r="L15" s="55">
        <v>44195</v>
      </c>
      <c r="M15" s="32"/>
      <c r="N15" s="32"/>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row>
    <row r="16" spans="1:231" s="22" customFormat="1" ht="24.95" hidden="1" customHeight="1" thickBot="1">
      <c r="A16" s="17"/>
      <c r="B16" s="58" t="s">
        <v>576</v>
      </c>
      <c r="C16" s="58" t="s">
        <v>577</v>
      </c>
      <c r="D16" s="57" t="s">
        <v>562</v>
      </c>
      <c r="E16" s="82">
        <v>20</v>
      </c>
      <c r="F16" s="81" t="e">
        <f>SUMIF(#REF!,'Project Schedule Phase 1 Old'!C16,#REF!)</f>
        <v>#REF!</v>
      </c>
      <c r="G16" s="56" t="e">
        <f t="shared" si="8"/>
        <v>#REF!</v>
      </c>
      <c r="H16" s="56">
        <v>1</v>
      </c>
      <c r="I16" s="83">
        <f>$J$11+10</f>
        <v>44179</v>
      </c>
      <c r="J16" s="83">
        <f>I16+4</f>
        <v>44183</v>
      </c>
      <c r="K16" s="83">
        <f>$J$11+10</f>
        <v>44179</v>
      </c>
      <c r="L16" s="83">
        <f>K16+4</f>
        <v>44183</v>
      </c>
      <c r="M16" s="32"/>
      <c r="N16" s="32"/>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c r="HD16" s="31"/>
      <c r="HE16" s="31"/>
      <c r="HF16" s="31"/>
      <c r="HG16" s="31"/>
      <c r="HH16" s="31"/>
      <c r="HI16" s="31"/>
      <c r="HJ16" s="31"/>
      <c r="HK16" s="31"/>
      <c r="HL16" s="31"/>
      <c r="HM16" s="31"/>
      <c r="HN16" s="31"/>
      <c r="HO16" s="31"/>
      <c r="HP16" s="31"/>
      <c r="HQ16" s="31"/>
      <c r="HR16" s="31"/>
      <c r="HS16" s="31"/>
      <c r="HT16" s="31"/>
      <c r="HU16" s="31"/>
      <c r="HV16" s="31"/>
      <c r="HW16" s="31"/>
    </row>
    <row r="17" spans="1:231" s="22" customFormat="1" ht="24.95" hidden="1" customHeight="1" thickBot="1">
      <c r="A17" s="17"/>
      <c r="B17" s="58" t="s">
        <v>578</v>
      </c>
      <c r="C17" s="58" t="s">
        <v>579</v>
      </c>
      <c r="D17" s="57" t="s">
        <v>562</v>
      </c>
      <c r="E17" s="82">
        <v>16</v>
      </c>
      <c r="F17" s="81" t="e">
        <f>SUMIF(#REF!,'Project Schedule Phase 1 Old'!C17,#REF!)</f>
        <v>#REF!</v>
      </c>
      <c r="G17" s="56" t="e">
        <f t="shared" si="8"/>
        <v>#REF!</v>
      </c>
      <c r="H17" s="56">
        <v>1</v>
      </c>
      <c r="I17" s="83">
        <f>$J$11+10</f>
        <v>44179</v>
      </c>
      <c r="J17" s="83">
        <f>I17+4</f>
        <v>44183</v>
      </c>
      <c r="K17" s="55">
        <v>44179</v>
      </c>
      <c r="L17" s="83">
        <f>K17+4</f>
        <v>44183</v>
      </c>
      <c r="M17" s="32"/>
      <c r="N17" s="32"/>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row>
    <row r="18" spans="1:231" s="22" customFormat="1" ht="24.95" hidden="1" customHeight="1" thickBot="1">
      <c r="A18" s="17"/>
      <c r="B18" s="58" t="s">
        <v>580</v>
      </c>
      <c r="C18" s="58" t="s">
        <v>581</v>
      </c>
      <c r="D18" s="57" t="s">
        <v>562</v>
      </c>
      <c r="E18" s="82">
        <v>20</v>
      </c>
      <c r="F18" s="81" t="e">
        <f>SUMIF(#REF!,'Project Schedule Phase 1 Old'!C18,#REF!)</f>
        <v>#REF!</v>
      </c>
      <c r="G18" s="56" t="e">
        <f t="shared" si="8"/>
        <v>#REF!</v>
      </c>
      <c r="H18" s="56">
        <v>1</v>
      </c>
      <c r="I18" s="83">
        <f>J17+2</f>
        <v>44185</v>
      </c>
      <c r="J18" s="83">
        <f>I18+5</f>
        <v>44190</v>
      </c>
      <c r="K18" s="83">
        <f>L17+2</f>
        <v>44185</v>
      </c>
      <c r="L18" s="55">
        <v>44204</v>
      </c>
      <c r="M18" s="32"/>
      <c r="N18" s="32"/>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c r="HD18" s="31"/>
      <c r="HE18" s="31"/>
      <c r="HF18" s="31"/>
      <c r="HG18" s="31"/>
      <c r="HH18" s="31"/>
      <c r="HI18" s="31"/>
      <c r="HJ18" s="31"/>
      <c r="HK18" s="31"/>
      <c r="HL18" s="31"/>
      <c r="HM18" s="31"/>
      <c r="HN18" s="31"/>
      <c r="HO18" s="31"/>
      <c r="HP18" s="31"/>
      <c r="HQ18" s="31"/>
      <c r="HR18" s="31"/>
      <c r="HS18" s="31"/>
      <c r="HT18" s="31"/>
      <c r="HU18" s="31"/>
      <c r="HV18" s="31"/>
      <c r="HW18" s="31"/>
    </row>
    <row r="19" spans="1:231" s="22" customFormat="1" ht="24.95" hidden="1" customHeight="1" thickBot="1">
      <c r="A19" s="17"/>
      <c r="B19" s="58" t="s">
        <v>582</v>
      </c>
      <c r="C19" s="58" t="s">
        <v>583</v>
      </c>
      <c r="D19" s="57" t="s">
        <v>584</v>
      </c>
      <c r="E19" s="82">
        <v>60</v>
      </c>
      <c r="F19" s="81" t="e">
        <f>SUMIF(#REF!,'Project Schedule Phase 1 Old'!C19,#REF!)</f>
        <v>#REF!</v>
      </c>
      <c r="G19" s="56" t="e">
        <f t="shared" si="8"/>
        <v>#REF!</v>
      </c>
      <c r="H19" s="56">
        <v>1</v>
      </c>
      <c r="I19" s="83">
        <v>44158</v>
      </c>
      <c r="J19" s="83">
        <f>I19+14</f>
        <v>44172</v>
      </c>
      <c r="K19" s="55">
        <v>44158</v>
      </c>
      <c r="L19" s="55">
        <v>44188</v>
      </c>
      <c r="M19" s="32"/>
      <c r="N19" s="32"/>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row>
    <row r="20" spans="1:231" s="22" customFormat="1" ht="24.95" hidden="1" customHeight="1" thickBot="1">
      <c r="A20" s="17"/>
      <c r="B20" s="58" t="s">
        <v>585</v>
      </c>
      <c r="C20" s="58" t="s">
        <v>586</v>
      </c>
      <c r="D20" s="57" t="s">
        <v>587</v>
      </c>
      <c r="E20" s="82">
        <v>40</v>
      </c>
      <c r="F20" s="81" t="e">
        <f>SUMIF(#REF!,'Project Schedule Phase 1 Old'!C20,#REF!)</f>
        <v>#REF!</v>
      </c>
      <c r="G20" s="56" t="e">
        <f t="shared" si="8"/>
        <v>#REF!</v>
      </c>
      <c r="H20" s="56">
        <v>1</v>
      </c>
      <c r="I20" s="83">
        <f>J19+1</f>
        <v>44173</v>
      </c>
      <c r="J20" s="83">
        <f>I20+7</f>
        <v>44180</v>
      </c>
      <c r="K20" s="83">
        <f>L19+1</f>
        <v>44189</v>
      </c>
      <c r="L20" s="55">
        <v>44204</v>
      </c>
      <c r="M20" s="32"/>
      <c r="N20" s="32"/>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c r="GG20" s="31"/>
      <c r="GH20" s="31"/>
      <c r="GI20" s="31"/>
      <c r="GJ20" s="31"/>
      <c r="GK20" s="31"/>
      <c r="GL20" s="31"/>
      <c r="GM20" s="31"/>
      <c r="GN20" s="31"/>
      <c r="GO20" s="31"/>
      <c r="GP20" s="31"/>
      <c r="GQ20" s="31"/>
      <c r="GR20" s="31"/>
      <c r="GS20" s="31"/>
      <c r="GT20" s="31"/>
      <c r="GU20" s="31"/>
      <c r="GV20" s="31"/>
      <c r="GW20" s="31"/>
      <c r="GX20" s="31"/>
      <c r="GY20" s="31"/>
      <c r="GZ20" s="31"/>
      <c r="HA20" s="31"/>
      <c r="HB20" s="31"/>
      <c r="HC20" s="31"/>
      <c r="HD20" s="31"/>
      <c r="HE20" s="31"/>
      <c r="HF20" s="31"/>
      <c r="HG20" s="31"/>
      <c r="HH20" s="31"/>
      <c r="HI20" s="31"/>
      <c r="HJ20" s="31"/>
      <c r="HK20" s="31"/>
      <c r="HL20" s="31"/>
      <c r="HM20" s="31"/>
      <c r="HN20" s="31"/>
      <c r="HO20" s="31"/>
      <c r="HP20" s="31"/>
      <c r="HQ20" s="31"/>
      <c r="HR20" s="31"/>
      <c r="HS20" s="31"/>
      <c r="HT20" s="31"/>
      <c r="HU20" s="31"/>
      <c r="HV20" s="31"/>
      <c r="HW20" s="31"/>
    </row>
    <row r="21" spans="1:231" s="22" customFormat="1" ht="25.5" hidden="1" customHeight="1" thickBot="1">
      <c r="A21" s="17"/>
      <c r="B21" s="58" t="s">
        <v>588</v>
      </c>
      <c r="C21" s="58" t="s">
        <v>589</v>
      </c>
      <c r="D21" s="57" t="s">
        <v>587</v>
      </c>
      <c r="E21" s="82">
        <v>60</v>
      </c>
      <c r="F21" s="81" t="e">
        <f>SUMIF(#REF!,'Project Schedule Phase 1 Old'!C21,#REF!)</f>
        <v>#REF!</v>
      </c>
      <c r="G21" s="56" t="e">
        <f t="shared" si="8"/>
        <v>#REF!</v>
      </c>
      <c r="H21" s="56">
        <v>1</v>
      </c>
      <c r="I21" s="83">
        <v>44179</v>
      </c>
      <c r="J21" s="83">
        <f>I21+12</f>
        <v>44191</v>
      </c>
      <c r="K21" s="83">
        <v>44179</v>
      </c>
      <c r="L21" s="55">
        <v>44204</v>
      </c>
      <c r="M21" s="32"/>
      <c r="N21" s="32">
        <f ca="1">IF(OR(ISBLANK(task_start),ISBLANK(task_end)),"",task_end-task_start+1)</f>
        <v>26</v>
      </c>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c r="GS21" s="31"/>
      <c r="GT21" s="31"/>
      <c r="GU21" s="31"/>
      <c r="GV21" s="31"/>
      <c r="GW21" s="31"/>
      <c r="GX21" s="31"/>
      <c r="GY21" s="31"/>
      <c r="GZ21" s="31"/>
      <c r="HA21" s="31"/>
      <c r="HB21" s="31"/>
      <c r="HC21" s="31"/>
      <c r="HD21" s="31"/>
      <c r="HE21" s="31"/>
      <c r="HF21" s="31"/>
      <c r="HG21" s="31"/>
      <c r="HH21" s="31"/>
      <c r="HI21" s="31"/>
      <c r="HJ21" s="31"/>
      <c r="HK21" s="31"/>
      <c r="HL21" s="31"/>
      <c r="HM21" s="31"/>
      <c r="HN21" s="31"/>
      <c r="HO21" s="31"/>
      <c r="HP21" s="31"/>
      <c r="HQ21" s="31"/>
      <c r="HR21" s="31"/>
      <c r="HS21" s="31"/>
      <c r="HT21" s="31"/>
      <c r="HU21" s="31"/>
      <c r="HV21" s="31"/>
      <c r="HW21" s="31"/>
    </row>
    <row r="22" spans="1:231" s="22" customFormat="1" ht="24.95" hidden="1" customHeight="1" thickBot="1">
      <c r="A22" s="17"/>
      <c r="B22" s="58" t="s">
        <v>590</v>
      </c>
      <c r="C22" s="58" t="s">
        <v>591</v>
      </c>
      <c r="D22" s="57" t="s">
        <v>584</v>
      </c>
      <c r="E22" s="82">
        <v>40</v>
      </c>
      <c r="F22" s="81" t="e">
        <f>SUMIF(#REF!,'Project Schedule Phase 1 Old'!C22,#REF!)</f>
        <v>#REF!</v>
      </c>
      <c r="G22" s="56" t="e">
        <f t="shared" si="8"/>
        <v>#REF!</v>
      </c>
      <c r="H22" s="56">
        <v>1</v>
      </c>
      <c r="I22" s="55">
        <v>44158</v>
      </c>
      <c r="J22" s="83">
        <f>I22+30</f>
        <v>44188</v>
      </c>
      <c r="K22" s="55">
        <v>44158</v>
      </c>
      <c r="L22" s="55">
        <v>44204</v>
      </c>
      <c r="M22" s="32"/>
      <c r="N22" s="32"/>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c r="GG22" s="31"/>
      <c r="GH22" s="31"/>
      <c r="GI22" s="31"/>
      <c r="GJ22" s="31"/>
      <c r="GK22" s="31"/>
      <c r="GL22" s="31"/>
      <c r="GM22" s="31"/>
      <c r="GN22" s="31"/>
      <c r="GO22" s="31"/>
      <c r="GP22" s="31"/>
      <c r="GQ22" s="31"/>
      <c r="GR22" s="31"/>
      <c r="GS22" s="31"/>
      <c r="GT22" s="31"/>
      <c r="GU22" s="31"/>
      <c r="GV22" s="31"/>
      <c r="GW22" s="31"/>
      <c r="GX22" s="31"/>
      <c r="GY22" s="31"/>
      <c r="GZ22" s="31"/>
      <c r="HA22" s="31"/>
      <c r="HB22" s="31"/>
      <c r="HC22" s="31"/>
      <c r="HD22" s="31"/>
      <c r="HE22" s="31"/>
      <c r="HF22" s="31"/>
      <c r="HG22" s="31"/>
      <c r="HH22" s="31"/>
      <c r="HI22" s="31"/>
      <c r="HJ22" s="31"/>
      <c r="HK22" s="31"/>
      <c r="HL22" s="31"/>
      <c r="HM22" s="31"/>
      <c r="HN22" s="31"/>
      <c r="HO22" s="31"/>
      <c r="HP22" s="31"/>
      <c r="HQ22" s="31"/>
      <c r="HR22" s="31"/>
      <c r="HS22" s="31"/>
      <c r="HT22" s="31"/>
      <c r="HU22" s="31"/>
      <c r="HV22" s="31"/>
      <c r="HW22" s="31"/>
    </row>
    <row r="23" spans="1:231" s="22" customFormat="1" ht="30" customHeight="1" thickBot="1">
      <c r="A23" s="30" t="s">
        <v>592</v>
      </c>
      <c r="B23" s="54" t="s">
        <v>593</v>
      </c>
      <c r="C23" s="54" t="s">
        <v>594</v>
      </c>
      <c r="D23" s="53" t="s">
        <v>562</v>
      </c>
      <c r="E23" s="104">
        <f>SUM(E24:E44)</f>
        <v>3173.8928571428569</v>
      </c>
      <c r="F23" s="105" t="e">
        <f>SUM(F24:F44)</f>
        <v>#REF!</v>
      </c>
      <c r="G23" s="52" t="str">
        <f t="shared" ref="G23:G44" si="9">IFERROR(F23/E23,"")</f>
        <v/>
      </c>
      <c r="H23" s="52">
        <v>0</v>
      </c>
      <c r="I23" s="106">
        <v>44221</v>
      </c>
      <c r="J23" s="106">
        <v>44372</v>
      </c>
      <c r="K23" s="51"/>
      <c r="L23" s="50"/>
      <c r="M23" s="32"/>
      <c r="N23" s="32" t="str">
        <f ca="1">IF(OR(ISBLANK(task_start),ISBLANK(task_end)),"",task_end-task_start+1)</f>
        <v/>
      </c>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c r="GG23" s="31"/>
      <c r="GH23" s="31"/>
      <c r="GI23" s="31"/>
      <c r="GJ23" s="31"/>
      <c r="GK23" s="31"/>
      <c r="GL23" s="31"/>
      <c r="GM23" s="31"/>
      <c r="GN23" s="31"/>
      <c r="GO23" s="31"/>
      <c r="GP23" s="31"/>
      <c r="GQ23" s="31"/>
      <c r="GR23" s="31"/>
      <c r="GS23" s="31"/>
      <c r="GT23" s="31"/>
      <c r="GU23" s="31"/>
      <c r="GV23" s="31"/>
      <c r="GW23" s="31"/>
      <c r="GX23" s="31"/>
      <c r="GY23" s="31"/>
      <c r="GZ23" s="31"/>
      <c r="HA23" s="31"/>
      <c r="HB23" s="31"/>
      <c r="HC23" s="31"/>
      <c r="HD23" s="31"/>
      <c r="HE23" s="31"/>
      <c r="HF23" s="31"/>
      <c r="HG23" s="31"/>
      <c r="HH23" s="31"/>
      <c r="HI23" s="31"/>
      <c r="HJ23" s="31"/>
      <c r="HK23" s="31"/>
      <c r="HL23" s="31"/>
      <c r="HM23" s="31"/>
      <c r="HN23" s="31"/>
      <c r="HO23" s="31"/>
      <c r="HP23" s="31"/>
      <c r="HQ23" s="31"/>
      <c r="HR23" s="31"/>
      <c r="HS23" s="31"/>
      <c r="HT23" s="31"/>
      <c r="HU23" s="31"/>
      <c r="HV23" s="31"/>
      <c r="HW23" s="31"/>
    </row>
    <row r="24" spans="1:231" s="22" customFormat="1" ht="30" customHeight="1" thickBot="1">
      <c r="A24" s="30"/>
      <c r="B24" s="49" t="s">
        <v>560</v>
      </c>
      <c r="C24" s="85" t="s">
        <v>595</v>
      </c>
      <c r="D24" s="48" t="s">
        <v>562</v>
      </c>
      <c r="E24" s="102">
        <v>5</v>
      </c>
      <c r="F24" s="100" t="e">
        <f>SUMIF(#REF!,'Project Schedule Phase 1 Old'!C24,#REF!)</f>
        <v>#REF!</v>
      </c>
      <c r="G24" s="47" t="str">
        <f t="shared" si="9"/>
        <v/>
      </c>
      <c r="H24" s="47">
        <v>1</v>
      </c>
      <c r="I24" s="101">
        <v>44221</v>
      </c>
      <c r="J24" s="101">
        <f>I24+6+7</f>
        <v>44234</v>
      </c>
      <c r="K24" s="101">
        <v>44221</v>
      </c>
      <c r="L24" s="46">
        <f>K24+4</f>
        <v>44225</v>
      </c>
      <c r="M24" s="32"/>
      <c r="N24" s="32">
        <f ca="1">IF(OR(ISBLANK(task_start),ISBLANK(task_end)),"",task_end-task_start+1)</f>
        <v>5</v>
      </c>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c r="GG24" s="31"/>
      <c r="GH24" s="31"/>
      <c r="GI24" s="31"/>
      <c r="GJ24" s="31"/>
      <c r="GK24" s="31"/>
      <c r="GL24" s="31"/>
      <c r="GM24" s="31"/>
      <c r="GN24" s="31"/>
      <c r="GO24" s="31"/>
      <c r="GP24" s="31"/>
      <c r="GQ24" s="31"/>
      <c r="GR24" s="31"/>
      <c r="GS24" s="31"/>
      <c r="GT24" s="31"/>
      <c r="GU24" s="31"/>
      <c r="GV24" s="31"/>
      <c r="GW24" s="31"/>
      <c r="GX24" s="31"/>
      <c r="GY24" s="31"/>
      <c r="GZ24" s="31"/>
      <c r="HA24" s="31"/>
      <c r="HB24" s="31"/>
      <c r="HC24" s="31"/>
      <c r="HD24" s="31"/>
      <c r="HE24" s="31"/>
      <c r="HF24" s="31"/>
      <c r="HG24" s="31"/>
      <c r="HH24" s="31"/>
      <c r="HI24" s="31"/>
      <c r="HJ24" s="31"/>
      <c r="HK24" s="31"/>
      <c r="HL24" s="31"/>
      <c r="HM24" s="31"/>
      <c r="HN24" s="31"/>
      <c r="HO24" s="31"/>
      <c r="HP24" s="31"/>
      <c r="HQ24" s="31"/>
      <c r="HR24" s="31"/>
      <c r="HS24" s="31"/>
      <c r="HT24" s="31"/>
      <c r="HU24" s="31"/>
      <c r="HV24" s="31"/>
      <c r="HW24" s="31"/>
    </row>
    <row r="25" spans="1:231" s="22" customFormat="1" ht="30" customHeight="1" thickBot="1">
      <c r="A25" s="30"/>
      <c r="B25" s="85" t="s">
        <v>596</v>
      </c>
      <c r="C25" s="49" t="s">
        <v>597</v>
      </c>
      <c r="D25" s="48" t="s">
        <v>562</v>
      </c>
      <c r="E25" s="102">
        <v>10</v>
      </c>
      <c r="F25" s="100" t="e">
        <f>SUMIF(#REF!,'Project Schedule Phase 1 Old'!C25,#REF!)</f>
        <v>#REF!</v>
      </c>
      <c r="G25" s="47" t="str">
        <f t="shared" si="9"/>
        <v/>
      </c>
      <c r="H25" s="47">
        <v>0.65</v>
      </c>
      <c r="I25" s="101">
        <v>44221</v>
      </c>
      <c r="J25" s="101">
        <f>I25+6+7</f>
        <v>44234</v>
      </c>
      <c r="K25" s="101">
        <v>44221</v>
      </c>
      <c r="L25" s="46">
        <f>K25+4</f>
        <v>44225</v>
      </c>
      <c r="M25" s="32"/>
      <c r="N25" s="32"/>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c r="GS25" s="31"/>
      <c r="GT25" s="31"/>
      <c r="GU25" s="31"/>
      <c r="GV25" s="31"/>
      <c r="GW25" s="31"/>
      <c r="GX25" s="31"/>
      <c r="GY25" s="31"/>
      <c r="GZ25" s="31"/>
      <c r="HA25" s="31"/>
      <c r="HB25" s="31"/>
      <c r="HC25" s="31"/>
      <c r="HD25" s="31"/>
      <c r="HE25" s="31"/>
      <c r="HF25" s="31"/>
      <c r="HG25" s="31"/>
      <c r="HH25" s="31"/>
      <c r="HI25" s="31"/>
      <c r="HJ25" s="31"/>
      <c r="HK25" s="31"/>
      <c r="HL25" s="31"/>
      <c r="HM25" s="31"/>
      <c r="HN25" s="31"/>
      <c r="HO25" s="31"/>
      <c r="HP25" s="31"/>
      <c r="HQ25" s="31"/>
      <c r="HR25" s="31"/>
      <c r="HS25" s="31"/>
      <c r="HT25" s="31"/>
      <c r="HU25" s="31"/>
      <c r="HV25" s="31"/>
      <c r="HW25" s="31"/>
    </row>
    <row r="26" spans="1:231" s="22" customFormat="1" ht="30" customHeight="1" thickBot="1">
      <c r="A26" s="17"/>
      <c r="B26" s="49" t="s">
        <v>598</v>
      </c>
      <c r="C26" s="49" t="s">
        <v>599</v>
      </c>
      <c r="D26" s="48" t="s">
        <v>562</v>
      </c>
      <c r="E26" s="103">
        <v>12.5</v>
      </c>
      <c r="F26" s="100" t="e">
        <f>SUMIF(#REF!,'Project Schedule Phase 1 Old'!C26,#REF!)</f>
        <v>#REF!</v>
      </c>
      <c r="G26" s="47" t="str">
        <f t="shared" si="9"/>
        <v/>
      </c>
      <c r="H26" s="47">
        <v>0</v>
      </c>
      <c r="I26" s="101">
        <v>44221</v>
      </c>
      <c r="J26" s="101">
        <f>I26+6+7</f>
        <v>44234</v>
      </c>
      <c r="K26" s="101">
        <v>44225</v>
      </c>
      <c r="L26" s="46"/>
      <c r="M26" s="32"/>
      <c r="N26" s="32" t="str">
        <f ca="1">IF(OR(ISBLANK(task_start),ISBLANK(task_end)),"",task_end-task_start+1)</f>
        <v/>
      </c>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c r="GG26" s="31"/>
      <c r="GH26" s="31"/>
      <c r="GI26" s="31"/>
      <c r="GJ26" s="31"/>
      <c r="GK26" s="31"/>
      <c r="GL26" s="31"/>
      <c r="GM26" s="31"/>
      <c r="GN26" s="31"/>
      <c r="GO26" s="31"/>
      <c r="GP26" s="31"/>
      <c r="GQ26" s="31"/>
      <c r="GR26" s="31"/>
      <c r="GS26" s="31"/>
      <c r="GT26" s="31"/>
      <c r="GU26" s="31"/>
      <c r="GV26" s="31"/>
      <c r="GW26" s="31"/>
      <c r="GX26" s="31"/>
      <c r="GY26" s="31"/>
      <c r="GZ26" s="31"/>
      <c r="HA26" s="31"/>
      <c r="HB26" s="31"/>
      <c r="HC26" s="31"/>
      <c r="HD26" s="31"/>
      <c r="HE26" s="31"/>
      <c r="HF26" s="31"/>
      <c r="HG26" s="31"/>
      <c r="HH26" s="31"/>
      <c r="HI26" s="31"/>
      <c r="HJ26" s="31"/>
      <c r="HK26" s="31"/>
      <c r="HL26" s="31"/>
      <c r="HM26" s="31"/>
      <c r="HN26" s="31"/>
      <c r="HO26" s="31"/>
      <c r="HP26" s="31"/>
      <c r="HQ26" s="31"/>
      <c r="HR26" s="31"/>
      <c r="HS26" s="31"/>
      <c r="HT26" s="31"/>
      <c r="HU26" s="31"/>
      <c r="HV26" s="31"/>
      <c r="HW26" s="31"/>
    </row>
    <row r="27" spans="1:231" s="22" customFormat="1" ht="30" customHeight="1" thickBot="1">
      <c r="A27" s="17"/>
      <c r="B27" s="49" t="s">
        <v>588</v>
      </c>
      <c r="C27" s="49" t="s">
        <v>600</v>
      </c>
      <c r="D27" s="48" t="s">
        <v>562</v>
      </c>
      <c r="E27" s="102">
        <v>10</v>
      </c>
      <c r="F27" s="100" t="e">
        <f>SUMIF(#REF!,'Project Schedule Phase 1 Old'!C27,#REF!)</f>
        <v>#REF!</v>
      </c>
      <c r="G27" s="47" t="str">
        <f t="shared" si="9"/>
        <v/>
      </c>
      <c r="H27" s="47">
        <v>1</v>
      </c>
      <c r="I27" s="101">
        <v>44221</v>
      </c>
      <c r="J27" s="101">
        <f>I27+6+7</f>
        <v>44234</v>
      </c>
      <c r="K27" s="101">
        <v>44221</v>
      </c>
      <c r="L27" s="46">
        <f>K27+3</f>
        <v>44224</v>
      </c>
      <c r="M27" s="32"/>
      <c r="N27" s="32">
        <f ca="1">IF(OR(ISBLANK(task_start),ISBLANK(task_end)),"",task_end-task_start+1)</f>
        <v>4</v>
      </c>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c r="HD27" s="31"/>
      <c r="HE27" s="31"/>
      <c r="HF27" s="31"/>
      <c r="HG27" s="31"/>
      <c r="HH27" s="31"/>
      <c r="HI27" s="31"/>
      <c r="HJ27" s="31"/>
      <c r="HK27" s="31"/>
      <c r="HL27" s="31"/>
      <c r="HM27" s="31"/>
      <c r="HN27" s="31"/>
      <c r="HO27" s="31"/>
      <c r="HP27" s="31"/>
      <c r="HQ27" s="31"/>
      <c r="HR27" s="31"/>
      <c r="HS27" s="31"/>
      <c r="HT27" s="31"/>
      <c r="HU27" s="31"/>
      <c r="HV27" s="31"/>
      <c r="HW27" s="31"/>
    </row>
    <row r="28" spans="1:231" s="22" customFormat="1" ht="30" customHeight="1" thickBot="1">
      <c r="A28" s="17"/>
      <c r="B28" s="49"/>
      <c r="C28" s="49" t="s">
        <v>601</v>
      </c>
      <c r="D28" s="48" t="s">
        <v>562</v>
      </c>
      <c r="E28" s="102">
        <f>8*(J28-I28)/7</f>
        <v>172.57142857142858</v>
      </c>
      <c r="F28" s="100" t="e">
        <f>SUMIF(#REF!,'Project Schedule Phase 1 Old'!C28,#REF!)</f>
        <v>#REF!</v>
      </c>
      <c r="G28" s="47" t="str">
        <f t="shared" si="9"/>
        <v/>
      </c>
      <c r="H28" s="47">
        <v>0.05</v>
      </c>
      <c r="I28" s="101">
        <v>44221</v>
      </c>
      <c r="J28" s="101">
        <f>J23</f>
        <v>44372</v>
      </c>
      <c r="K28" s="101">
        <v>44221</v>
      </c>
      <c r="L28" s="46"/>
      <c r="M28" s="32"/>
      <c r="N28" s="32"/>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c r="GG28" s="31"/>
      <c r="GH28" s="31"/>
      <c r="GI28" s="31"/>
      <c r="GJ28" s="31"/>
      <c r="GK28" s="31"/>
      <c r="GL28" s="31"/>
      <c r="GM28" s="31"/>
      <c r="GN28" s="31"/>
      <c r="GO28" s="31"/>
      <c r="GP28" s="31"/>
      <c r="GQ28" s="31"/>
      <c r="GR28" s="31"/>
      <c r="GS28" s="31"/>
      <c r="GT28" s="31"/>
      <c r="GU28" s="31"/>
      <c r="GV28" s="31"/>
      <c r="GW28" s="31"/>
      <c r="GX28" s="31"/>
      <c r="GY28" s="31"/>
      <c r="GZ28" s="31"/>
      <c r="HA28" s="31"/>
      <c r="HB28" s="31"/>
      <c r="HC28" s="31"/>
      <c r="HD28" s="31"/>
      <c r="HE28" s="31"/>
      <c r="HF28" s="31"/>
      <c r="HG28" s="31"/>
      <c r="HH28" s="31"/>
      <c r="HI28" s="31"/>
      <c r="HJ28" s="31"/>
      <c r="HK28" s="31"/>
      <c r="HL28" s="31"/>
      <c r="HM28" s="31"/>
      <c r="HN28" s="31"/>
      <c r="HO28" s="31"/>
      <c r="HP28" s="31"/>
      <c r="HQ28" s="31"/>
      <c r="HR28" s="31"/>
      <c r="HS28" s="31"/>
      <c r="HT28" s="31"/>
      <c r="HU28" s="31"/>
      <c r="HV28" s="31"/>
      <c r="HW28" s="31"/>
    </row>
    <row r="29" spans="1:231" s="22" customFormat="1" ht="30" customHeight="1" thickBot="1">
      <c r="A29" s="17"/>
      <c r="B29" s="49"/>
      <c r="C29" s="49" t="s">
        <v>602</v>
      </c>
      <c r="D29" s="48" t="s">
        <v>603</v>
      </c>
      <c r="E29" s="102">
        <v>250</v>
      </c>
      <c r="F29" s="100" t="e">
        <f>SUMIF(#REF!,'Project Schedule Phase 1 Old'!C29,#REF!)</f>
        <v>#REF!</v>
      </c>
      <c r="G29" s="47" t="str">
        <f t="shared" si="9"/>
        <v/>
      </c>
      <c r="H29" s="47">
        <v>0</v>
      </c>
      <c r="I29" s="101">
        <v>44221</v>
      </c>
      <c r="J29" s="101">
        <v>44316</v>
      </c>
      <c r="K29" s="46"/>
      <c r="L29" s="46"/>
      <c r="M29" s="32"/>
      <c r="N29" s="32"/>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c r="HD29" s="31"/>
      <c r="HE29" s="31"/>
      <c r="HF29" s="31"/>
      <c r="HG29" s="31"/>
      <c r="HH29" s="31"/>
      <c r="HI29" s="31"/>
      <c r="HJ29" s="31"/>
      <c r="HK29" s="31"/>
      <c r="HL29" s="31"/>
      <c r="HM29" s="31"/>
      <c r="HN29" s="31"/>
      <c r="HO29" s="31"/>
      <c r="HP29" s="31"/>
      <c r="HQ29" s="31"/>
      <c r="HR29" s="31"/>
      <c r="HS29" s="31"/>
      <c r="HT29" s="31"/>
      <c r="HU29" s="31"/>
      <c r="HV29" s="31"/>
      <c r="HW29" s="31"/>
    </row>
    <row r="30" spans="1:231" s="22" customFormat="1" ht="30" customHeight="1" thickBot="1">
      <c r="A30" s="17"/>
      <c r="B30" s="49"/>
      <c r="C30" s="49" t="s">
        <v>604</v>
      </c>
      <c r="D30" s="48" t="s">
        <v>562</v>
      </c>
      <c r="E30" s="102">
        <v>625</v>
      </c>
      <c r="F30" s="100" t="e">
        <f>SUMIF(#REF!,'Project Schedule Phase 1 Old'!C30,#REF!)</f>
        <v>#REF!</v>
      </c>
      <c r="G30" s="47" t="str">
        <f t="shared" si="9"/>
        <v/>
      </c>
      <c r="H30" s="47">
        <v>0</v>
      </c>
      <c r="I30" s="101">
        <v>44235</v>
      </c>
      <c r="J30" s="101">
        <v>44337</v>
      </c>
      <c r="K30" s="46"/>
      <c r="L30" s="46"/>
      <c r="M30" s="32"/>
      <c r="N30" s="32"/>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c r="GG30" s="31"/>
      <c r="GH30" s="31"/>
      <c r="GI30" s="31"/>
      <c r="GJ30" s="31"/>
      <c r="GK30" s="31"/>
      <c r="GL30" s="31"/>
      <c r="GM30" s="31"/>
      <c r="GN30" s="31"/>
      <c r="GO30" s="31"/>
      <c r="GP30" s="31"/>
      <c r="GQ30" s="31"/>
      <c r="GR30" s="31"/>
      <c r="GS30" s="31"/>
      <c r="GT30" s="31"/>
      <c r="GU30" s="31"/>
      <c r="GV30" s="31"/>
      <c r="GW30" s="31"/>
      <c r="GX30" s="31"/>
      <c r="GY30" s="31"/>
      <c r="GZ30" s="31"/>
      <c r="HA30" s="31"/>
      <c r="HB30" s="31"/>
      <c r="HC30" s="31"/>
      <c r="HD30" s="31"/>
      <c r="HE30" s="31"/>
      <c r="HF30" s="31"/>
      <c r="HG30" s="31"/>
      <c r="HH30" s="31"/>
      <c r="HI30" s="31"/>
      <c r="HJ30" s="31"/>
      <c r="HK30" s="31"/>
      <c r="HL30" s="31"/>
      <c r="HM30" s="31"/>
      <c r="HN30" s="31"/>
      <c r="HO30" s="31"/>
      <c r="HP30" s="31"/>
      <c r="HQ30" s="31"/>
      <c r="HR30" s="31"/>
      <c r="HS30" s="31"/>
      <c r="HT30" s="31"/>
      <c r="HU30" s="31"/>
      <c r="HV30" s="31"/>
      <c r="HW30" s="31"/>
    </row>
    <row r="31" spans="1:231" s="22" customFormat="1" ht="30" customHeight="1" thickBot="1">
      <c r="A31" s="17"/>
      <c r="B31" s="49"/>
      <c r="C31" s="49" t="s">
        <v>605</v>
      </c>
      <c r="D31" s="48" t="s">
        <v>562</v>
      </c>
      <c r="E31" s="102">
        <v>1250</v>
      </c>
      <c r="F31" s="100" t="e">
        <f>SUMIF(#REF!,'Project Schedule Phase 1 Old'!C31,#REF!)</f>
        <v>#REF!</v>
      </c>
      <c r="G31" s="47" t="str">
        <f t="shared" si="9"/>
        <v/>
      </c>
      <c r="H31" s="47">
        <v>0</v>
      </c>
      <c r="I31" s="101">
        <v>44263</v>
      </c>
      <c r="J31" s="101">
        <v>44372</v>
      </c>
      <c r="K31" s="46"/>
      <c r="L31" s="46"/>
      <c r="M31" s="32"/>
      <c r="N31" s="32"/>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row>
    <row r="32" spans="1:231" s="22" customFormat="1" ht="30" customHeight="1" thickBot="1">
      <c r="A32" s="17"/>
      <c r="B32" s="49" t="s">
        <v>606</v>
      </c>
      <c r="C32" s="49" t="s">
        <v>607</v>
      </c>
      <c r="D32" s="48" t="s">
        <v>562</v>
      </c>
      <c r="E32" s="102">
        <v>40</v>
      </c>
      <c r="F32" s="100" t="e">
        <f>SUMIF(#REF!,'Project Schedule Phase 1 Old'!C32,#REF!)</f>
        <v>#REF!</v>
      </c>
      <c r="G32" s="47" t="str">
        <f t="shared" si="9"/>
        <v/>
      </c>
      <c r="H32" s="47">
        <v>0.35</v>
      </c>
      <c r="I32" s="101">
        <v>44228</v>
      </c>
      <c r="J32" s="101">
        <f>I32+6+7</f>
        <v>44241</v>
      </c>
      <c r="K32" s="46"/>
      <c r="L32" s="46"/>
      <c r="M32" s="32"/>
      <c r="N32" s="32"/>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c r="GG32" s="31"/>
      <c r="GH32" s="31"/>
      <c r="GI32" s="31"/>
      <c r="GJ32" s="31"/>
      <c r="GK32" s="31"/>
      <c r="GL32" s="31"/>
      <c r="GM32" s="31"/>
      <c r="GN32" s="31"/>
      <c r="GO32" s="31"/>
      <c r="GP32" s="31"/>
      <c r="GQ32" s="31"/>
      <c r="GR32" s="31"/>
      <c r="GS32" s="31"/>
      <c r="GT32" s="31"/>
      <c r="GU32" s="31"/>
      <c r="GV32" s="31"/>
      <c r="GW32" s="31"/>
      <c r="GX32" s="31"/>
      <c r="GY32" s="31"/>
      <c r="GZ32" s="31"/>
      <c r="HA32" s="31"/>
      <c r="HB32" s="31"/>
      <c r="HC32" s="31"/>
      <c r="HD32" s="31"/>
      <c r="HE32" s="31"/>
      <c r="HF32" s="31"/>
      <c r="HG32" s="31"/>
      <c r="HH32" s="31"/>
      <c r="HI32" s="31"/>
      <c r="HJ32" s="31"/>
      <c r="HK32" s="31"/>
      <c r="HL32" s="31"/>
      <c r="HM32" s="31"/>
      <c r="HN32" s="31"/>
      <c r="HO32" s="31"/>
      <c r="HP32" s="31"/>
      <c r="HQ32" s="31"/>
      <c r="HR32" s="31"/>
      <c r="HS32" s="31"/>
      <c r="HT32" s="31"/>
      <c r="HU32" s="31"/>
      <c r="HV32" s="31"/>
      <c r="HW32" s="31"/>
    </row>
    <row r="33" spans="1:231" s="22" customFormat="1" ht="30" customHeight="1" thickBot="1">
      <c r="A33" s="17"/>
      <c r="B33" s="49" t="s">
        <v>608</v>
      </c>
      <c r="C33" s="49" t="s">
        <v>609</v>
      </c>
      <c r="D33" s="48" t="s">
        <v>562</v>
      </c>
      <c r="E33" s="102">
        <v>10</v>
      </c>
      <c r="F33" s="100" t="e">
        <f>SUMIF(#REF!,'Project Schedule Phase 1 Old'!C33,#REF!)</f>
        <v>#REF!</v>
      </c>
      <c r="G33" s="47" t="str">
        <f t="shared" si="9"/>
        <v/>
      </c>
      <c r="H33" s="47">
        <v>0</v>
      </c>
      <c r="I33" s="101">
        <v>44228</v>
      </c>
      <c r="J33" s="101">
        <f>I33+6+7</f>
        <v>44241</v>
      </c>
      <c r="K33" s="46"/>
      <c r="L33" s="46"/>
      <c r="M33" s="32"/>
      <c r="N33" s="32"/>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c r="GG33" s="31"/>
      <c r="GH33" s="31"/>
      <c r="GI33" s="31"/>
      <c r="GJ33" s="31"/>
      <c r="GK33" s="31"/>
      <c r="GL33" s="31"/>
      <c r="GM33" s="31"/>
      <c r="GN33" s="31"/>
      <c r="GO33" s="31"/>
      <c r="GP33" s="31"/>
      <c r="GQ33" s="31"/>
      <c r="GR33" s="31"/>
      <c r="GS33" s="31"/>
      <c r="GT33" s="31"/>
      <c r="GU33" s="31"/>
      <c r="GV33" s="31"/>
      <c r="GW33" s="31"/>
      <c r="GX33" s="31"/>
      <c r="GY33" s="31"/>
      <c r="GZ33" s="31"/>
      <c r="HA33" s="31"/>
      <c r="HB33" s="31"/>
      <c r="HC33" s="31"/>
      <c r="HD33" s="31"/>
      <c r="HE33" s="31"/>
      <c r="HF33" s="31"/>
      <c r="HG33" s="31"/>
      <c r="HH33" s="31"/>
      <c r="HI33" s="31"/>
      <c r="HJ33" s="31"/>
      <c r="HK33" s="31"/>
      <c r="HL33" s="31"/>
      <c r="HM33" s="31"/>
      <c r="HN33" s="31"/>
      <c r="HO33" s="31"/>
      <c r="HP33" s="31"/>
      <c r="HQ33" s="31"/>
      <c r="HR33" s="31"/>
      <c r="HS33" s="31"/>
      <c r="HT33" s="31"/>
      <c r="HU33" s="31"/>
      <c r="HV33" s="31"/>
      <c r="HW33" s="31"/>
    </row>
    <row r="34" spans="1:231" s="22" customFormat="1" ht="30" customHeight="1" thickBot="1">
      <c r="A34" s="17"/>
      <c r="B34" s="49" t="s">
        <v>610</v>
      </c>
      <c r="C34" s="49" t="s">
        <v>611</v>
      </c>
      <c r="D34" s="48" t="s">
        <v>562</v>
      </c>
      <c r="E34" s="102">
        <v>42.5</v>
      </c>
      <c r="F34" s="100" t="e">
        <f>SUMIF(#REF!,'Project Schedule Phase 1 Old'!C34,#REF!)</f>
        <v>#REF!</v>
      </c>
      <c r="G34" s="47" t="str">
        <f t="shared" si="9"/>
        <v/>
      </c>
      <c r="H34" s="47">
        <v>0</v>
      </c>
      <c r="I34" s="101">
        <v>44228</v>
      </c>
      <c r="J34" s="101">
        <v>44248</v>
      </c>
      <c r="K34" s="46"/>
      <c r="L34" s="46"/>
      <c r="M34" s="32"/>
      <c r="N34" s="32"/>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c r="GG34" s="31"/>
      <c r="GH34" s="31"/>
      <c r="GI34" s="31"/>
      <c r="GJ34" s="31"/>
      <c r="GK34" s="31"/>
      <c r="GL34" s="31"/>
      <c r="GM34" s="31"/>
      <c r="GN34" s="31"/>
      <c r="GO34" s="31"/>
      <c r="GP34" s="31"/>
      <c r="GQ34" s="31"/>
      <c r="GR34" s="31"/>
      <c r="GS34" s="31"/>
      <c r="GT34" s="31"/>
      <c r="GU34" s="31"/>
      <c r="GV34" s="31"/>
      <c r="GW34" s="31"/>
      <c r="GX34" s="31"/>
      <c r="GY34" s="31"/>
      <c r="GZ34" s="31"/>
      <c r="HA34" s="31"/>
      <c r="HB34" s="31"/>
      <c r="HC34" s="31"/>
      <c r="HD34" s="31"/>
      <c r="HE34" s="31"/>
      <c r="HF34" s="31"/>
      <c r="HG34" s="31"/>
      <c r="HH34" s="31"/>
      <c r="HI34" s="31"/>
      <c r="HJ34" s="31"/>
      <c r="HK34" s="31"/>
      <c r="HL34" s="31"/>
      <c r="HM34" s="31"/>
      <c r="HN34" s="31"/>
      <c r="HO34" s="31"/>
      <c r="HP34" s="31"/>
      <c r="HQ34" s="31"/>
      <c r="HR34" s="31"/>
      <c r="HS34" s="31"/>
      <c r="HT34" s="31"/>
      <c r="HU34" s="31"/>
      <c r="HV34" s="31"/>
      <c r="HW34" s="31"/>
    </row>
    <row r="35" spans="1:231" s="22" customFormat="1" ht="30" customHeight="1" thickBot="1">
      <c r="A35" s="17"/>
      <c r="B35" s="49" t="s">
        <v>564</v>
      </c>
      <c r="C35" s="49" t="s">
        <v>612</v>
      </c>
      <c r="D35" s="48" t="s">
        <v>562</v>
      </c>
      <c r="E35" s="102">
        <v>40</v>
      </c>
      <c r="F35" s="100" t="e">
        <f>SUMIF(#REF!,'Project Schedule Phase 1 Old'!C35,#REF!)</f>
        <v>#REF!</v>
      </c>
      <c r="G35" s="47" t="str">
        <f t="shared" si="9"/>
        <v/>
      </c>
      <c r="H35" s="47">
        <v>0</v>
      </c>
      <c r="I35" s="101">
        <v>44249</v>
      </c>
      <c r="J35" s="101">
        <f>I35+5+7</f>
        <v>44261</v>
      </c>
      <c r="K35" s="101"/>
      <c r="L35" s="101"/>
      <c r="M35" s="32"/>
      <c r="N35" s="32"/>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c r="GG35" s="31"/>
      <c r="GH35" s="31"/>
      <c r="GI35" s="31"/>
      <c r="GJ35" s="31"/>
      <c r="GK35" s="31"/>
      <c r="GL35" s="31"/>
      <c r="GM35" s="31"/>
      <c r="GN35" s="31"/>
      <c r="GO35" s="31"/>
      <c r="GP35" s="31"/>
      <c r="GQ35" s="31"/>
      <c r="GR35" s="31"/>
      <c r="GS35" s="31"/>
      <c r="GT35" s="31"/>
      <c r="GU35" s="31"/>
      <c r="GV35" s="31"/>
      <c r="GW35" s="31"/>
      <c r="GX35" s="31"/>
      <c r="GY35" s="31"/>
      <c r="GZ35" s="31"/>
      <c r="HA35" s="31"/>
      <c r="HB35" s="31"/>
      <c r="HC35" s="31"/>
      <c r="HD35" s="31"/>
      <c r="HE35" s="31"/>
      <c r="HF35" s="31"/>
      <c r="HG35" s="31"/>
      <c r="HH35" s="31"/>
      <c r="HI35" s="31"/>
      <c r="HJ35" s="31"/>
      <c r="HK35" s="31"/>
      <c r="HL35" s="31"/>
      <c r="HM35" s="31"/>
      <c r="HN35" s="31"/>
      <c r="HO35" s="31"/>
      <c r="HP35" s="31"/>
      <c r="HQ35" s="31"/>
      <c r="HR35" s="31"/>
      <c r="HS35" s="31"/>
      <c r="HT35" s="31"/>
      <c r="HU35" s="31"/>
      <c r="HV35" s="31"/>
      <c r="HW35" s="31"/>
    </row>
    <row r="36" spans="1:231" s="22" customFormat="1" ht="30" customHeight="1" thickBot="1">
      <c r="A36" s="17"/>
      <c r="B36" s="49"/>
      <c r="C36" s="49" t="s">
        <v>613</v>
      </c>
      <c r="D36" s="48" t="s">
        <v>562</v>
      </c>
      <c r="E36" s="102">
        <v>30</v>
      </c>
      <c r="F36" s="100" t="e">
        <f>SUMIF(#REF!,'Project Schedule Phase 1 Old'!C36,#REF!)</f>
        <v>#REF!</v>
      </c>
      <c r="G36" s="47" t="str">
        <f t="shared" si="9"/>
        <v/>
      </c>
      <c r="H36" s="47">
        <v>0</v>
      </c>
      <c r="I36" s="101">
        <v>44249</v>
      </c>
      <c r="J36" s="101">
        <f>I36+5+7</f>
        <v>44261</v>
      </c>
      <c r="K36" s="46"/>
      <c r="L36" s="46"/>
      <c r="M36" s="32"/>
      <c r="N36" s="32"/>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c r="GG36" s="31"/>
      <c r="GH36" s="31"/>
      <c r="GI36" s="31"/>
      <c r="GJ36" s="31"/>
      <c r="GK36" s="31"/>
      <c r="GL36" s="31"/>
      <c r="GM36" s="31"/>
      <c r="GN36" s="31"/>
      <c r="GO36" s="31"/>
      <c r="GP36" s="31"/>
      <c r="GQ36" s="31"/>
      <c r="GR36" s="31"/>
      <c r="GS36" s="31"/>
      <c r="GT36" s="31"/>
      <c r="GU36" s="31"/>
      <c r="GV36" s="31"/>
      <c r="GW36" s="31"/>
      <c r="GX36" s="31"/>
      <c r="GY36" s="31"/>
      <c r="GZ36" s="31"/>
      <c r="HA36" s="31"/>
      <c r="HB36" s="31"/>
      <c r="HC36" s="31"/>
      <c r="HD36" s="31"/>
      <c r="HE36" s="31"/>
      <c r="HF36" s="31"/>
      <c r="HG36" s="31"/>
      <c r="HH36" s="31"/>
      <c r="HI36" s="31"/>
      <c r="HJ36" s="31"/>
      <c r="HK36" s="31"/>
      <c r="HL36" s="31"/>
      <c r="HM36" s="31"/>
      <c r="HN36" s="31"/>
      <c r="HO36" s="31"/>
      <c r="HP36" s="31"/>
      <c r="HQ36" s="31"/>
      <c r="HR36" s="31"/>
      <c r="HS36" s="31"/>
      <c r="HT36" s="31"/>
      <c r="HU36" s="31"/>
      <c r="HV36" s="31"/>
      <c r="HW36" s="31"/>
    </row>
    <row r="37" spans="1:231" s="22" customFormat="1" ht="30" customHeight="1" thickBot="1">
      <c r="A37" s="17"/>
      <c r="B37" s="49"/>
      <c r="C37" s="49" t="s">
        <v>614</v>
      </c>
      <c r="D37" s="48" t="s">
        <v>562</v>
      </c>
      <c r="E37" s="102">
        <v>22.5</v>
      </c>
      <c r="F37" s="100" t="e">
        <f>SUMIF(#REF!,'Project Schedule Phase 1 Old'!C37,#REF!)</f>
        <v>#REF!</v>
      </c>
      <c r="G37" s="47" t="str">
        <f t="shared" si="9"/>
        <v/>
      </c>
      <c r="H37" s="47">
        <v>0</v>
      </c>
      <c r="I37" s="101">
        <v>44249</v>
      </c>
      <c r="J37" s="101">
        <f>I37+5+7</f>
        <v>44261</v>
      </c>
      <c r="K37" s="46"/>
      <c r="L37" s="46"/>
      <c r="M37" s="32"/>
      <c r="N37" s="32"/>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c r="GG37" s="31"/>
      <c r="GH37" s="31"/>
      <c r="GI37" s="31"/>
      <c r="GJ37" s="31"/>
      <c r="GK37" s="31"/>
      <c r="GL37" s="31"/>
      <c r="GM37" s="31"/>
      <c r="GN37" s="31"/>
      <c r="GO37" s="31"/>
      <c r="GP37" s="31"/>
      <c r="GQ37" s="31"/>
      <c r="GR37" s="31"/>
      <c r="GS37" s="31"/>
      <c r="GT37" s="31"/>
      <c r="GU37" s="31"/>
      <c r="GV37" s="31"/>
      <c r="GW37" s="31"/>
      <c r="GX37" s="31"/>
      <c r="GY37" s="31"/>
      <c r="GZ37" s="31"/>
      <c r="HA37" s="31"/>
      <c r="HB37" s="31"/>
      <c r="HC37" s="31"/>
      <c r="HD37" s="31"/>
      <c r="HE37" s="31"/>
      <c r="HF37" s="31"/>
      <c r="HG37" s="31"/>
      <c r="HH37" s="31"/>
      <c r="HI37" s="31"/>
      <c r="HJ37" s="31"/>
      <c r="HK37" s="31"/>
      <c r="HL37" s="31"/>
      <c r="HM37" s="31"/>
      <c r="HN37" s="31"/>
      <c r="HO37" s="31"/>
      <c r="HP37" s="31"/>
      <c r="HQ37" s="31"/>
      <c r="HR37" s="31"/>
      <c r="HS37" s="31"/>
      <c r="HT37" s="31"/>
      <c r="HU37" s="31"/>
      <c r="HV37" s="31"/>
      <c r="HW37" s="31"/>
    </row>
    <row r="38" spans="1:231" s="22" customFormat="1" ht="30" customHeight="1" thickBot="1">
      <c r="A38" s="17"/>
      <c r="B38" s="49"/>
      <c r="C38" s="49" t="s">
        <v>615</v>
      </c>
      <c r="D38" s="48" t="s">
        <v>562</v>
      </c>
      <c r="E38" s="102">
        <v>10</v>
      </c>
      <c r="F38" s="100" t="e">
        <f>SUMIF(#REF!,'Project Schedule Phase 1 Old'!C38,#REF!)</f>
        <v>#REF!</v>
      </c>
      <c r="G38" s="47" t="str">
        <f t="shared" si="9"/>
        <v/>
      </c>
      <c r="H38" s="47">
        <v>0</v>
      </c>
      <c r="I38" s="101">
        <v>44249</v>
      </c>
      <c r="J38" s="101">
        <f>I38+5+7</f>
        <v>44261</v>
      </c>
      <c r="K38" s="46"/>
      <c r="L38" s="46"/>
      <c r="M38" s="32"/>
      <c r="N38" s="32"/>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c r="GG38" s="31"/>
      <c r="GH38" s="31"/>
      <c r="GI38" s="31"/>
      <c r="GJ38" s="31"/>
      <c r="GK38" s="31"/>
      <c r="GL38" s="31"/>
      <c r="GM38" s="31"/>
      <c r="GN38" s="31"/>
      <c r="GO38" s="31"/>
      <c r="GP38" s="31"/>
      <c r="GQ38" s="31"/>
      <c r="GR38" s="31"/>
      <c r="GS38" s="31"/>
      <c r="GT38" s="31"/>
      <c r="GU38" s="31"/>
      <c r="GV38" s="31"/>
      <c r="GW38" s="31"/>
      <c r="GX38" s="31"/>
      <c r="GY38" s="31"/>
      <c r="GZ38" s="31"/>
      <c r="HA38" s="31"/>
      <c r="HB38" s="31"/>
      <c r="HC38" s="31"/>
      <c r="HD38" s="31"/>
      <c r="HE38" s="31"/>
      <c r="HF38" s="31"/>
      <c r="HG38" s="31"/>
      <c r="HH38" s="31"/>
      <c r="HI38" s="31"/>
      <c r="HJ38" s="31"/>
      <c r="HK38" s="31"/>
      <c r="HL38" s="31"/>
      <c r="HM38" s="31"/>
      <c r="HN38" s="31"/>
      <c r="HO38" s="31"/>
      <c r="HP38" s="31"/>
      <c r="HQ38" s="31"/>
      <c r="HR38" s="31"/>
      <c r="HS38" s="31"/>
      <c r="HT38" s="31"/>
      <c r="HU38" s="31"/>
      <c r="HV38" s="31"/>
      <c r="HW38" s="31"/>
    </row>
    <row r="39" spans="1:231" s="22" customFormat="1" ht="30" customHeight="1" thickBot="1">
      <c r="A39" s="17"/>
      <c r="B39" s="49"/>
      <c r="C39" s="49" t="s">
        <v>616</v>
      </c>
      <c r="D39" s="48" t="s">
        <v>562</v>
      </c>
      <c r="E39" s="102">
        <v>20</v>
      </c>
      <c r="F39" s="100" t="e">
        <f>SUMIF(#REF!,'Project Schedule Phase 1 Old'!C39,#REF!)</f>
        <v>#REF!</v>
      </c>
      <c r="G39" s="47" t="str">
        <f t="shared" si="9"/>
        <v/>
      </c>
      <c r="H39" s="47">
        <v>0</v>
      </c>
      <c r="I39" s="101">
        <v>44249</v>
      </c>
      <c r="J39" s="101">
        <f>I39+5+7</f>
        <v>44261</v>
      </c>
      <c r="K39" s="46"/>
      <c r="L39" s="46"/>
      <c r="M39" s="32"/>
      <c r="N39" s="32"/>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c r="GG39" s="31"/>
      <c r="GH39" s="31"/>
      <c r="GI39" s="31"/>
      <c r="GJ39" s="31"/>
      <c r="GK39" s="31"/>
      <c r="GL39" s="31"/>
      <c r="GM39" s="31"/>
      <c r="GN39" s="31"/>
      <c r="GO39" s="31"/>
      <c r="GP39" s="31"/>
      <c r="GQ39" s="31"/>
      <c r="GR39" s="31"/>
      <c r="GS39" s="31"/>
      <c r="GT39" s="31"/>
      <c r="GU39" s="31"/>
      <c r="GV39" s="31"/>
      <c r="GW39" s="31"/>
      <c r="GX39" s="31"/>
      <c r="GY39" s="31"/>
      <c r="GZ39" s="31"/>
      <c r="HA39" s="31"/>
      <c r="HB39" s="31"/>
      <c r="HC39" s="31"/>
      <c r="HD39" s="31"/>
      <c r="HE39" s="31"/>
      <c r="HF39" s="31"/>
      <c r="HG39" s="31"/>
      <c r="HH39" s="31"/>
      <c r="HI39" s="31"/>
      <c r="HJ39" s="31"/>
      <c r="HK39" s="31"/>
      <c r="HL39" s="31"/>
      <c r="HM39" s="31"/>
      <c r="HN39" s="31"/>
      <c r="HO39" s="31"/>
      <c r="HP39" s="31"/>
      <c r="HQ39" s="31"/>
      <c r="HR39" s="31"/>
      <c r="HS39" s="31"/>
      <c r="HT39" s="31"/>
      <c r="HU39" s="31"/>
      <c r="HV39" s="31"/>
      <c r="HW39" s="31"/>
    </row>
    <row r="40" spans="1:231" s="22" customFormat="1" ht="30" customHeight="1" thickBot="1">
      <c r="A40" s="17"/>
      <c r="B40" s="49"/>
      <c r="C40" s="49" t="s">
        <v>617</v>
      </c>
      <c r="D40" s="48" t="s">
        <v>584</v>
      </c>
      <c r="E40" s="102">
        <f>8*(J40-I40)/7</f>
        <v>172.57142857142858</v>
      </c>
      <c r="F40" s="100" t="e">
        <f>SUMIF(#REF!,'Project Schedule Phase 1 Old'!C40,#REF!)</f>
        <v>#REF!</v>
      </c>
      <c r="G40" s="47" t="str">
        <f t="shared" si="9"/>
        <v/>
      </c>
      <c r="H40" s="47">
        <v>0</v>
      </c>
      <c r="I40" s="101">
        <v>44221</v>
      </c>
      <c r="J40" s="101">
        <f>J23</f>
        <v>44372</v>
      </c>
      <c r="K40" s="46"/>
      <c r="L40" s="46"/>
      <c r="M40" s="32"/>
      <c r="N40" s="32"/>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1"/>
      <c r="DZ40" s="31"/>
      <c r="EA40" s="31"/>
      <c r="EB40" s="31"/>
      <c r="EC40" s="31"/>
      <c r="ED40" s="31"/>
      <c r="EE40" s="31"/>
      <c r="EF40" s="31"/>
      <c r="EG40" s="31"/>
      <c r="EH40" s="31"/>
      <c r="EI40" s="31"/>
      <c r="EJ40" s="31"/>
      <c r="EK40" s="31"/>
      <c r="EL40" s="31"/>
      <c r="EM40" s="31"/>
      <c r="EN40" s="31"/>
      <c r="EO40" s="31"/>
      <c r="EP40" s="31"/>
      <c r="EQ40" s="31"/>
      <c r="ER40" s="31"/>
      <c r="ES40" s="31"/>
      <c r="ET40" s="31"/>
      <c r="EU40" s="31"/>
      <c r="EV40" s="31"/>
      <c r="EW40" s="31"/>
      <c r="EX40" s="31"/>
      <c r="EY40" s="31"/>
      <c r="EZ40" s="31"/>
      <c r="FA40" s="31"/>
      <c r="FB40" s="31"/>
      <c r="FC40" s="31"/>
      <c r="FD40" s="31"/>
      <c r="FE40" s="31"/>
      <c r="FF40" s="31"/>
      <c r="FG40" s="31"/>
      <c r="FH40" s="31"/>
      <c r="FI40" s="31"/>
      <c r="FJ40" s="31"/>
      <c r="FK40" s="31"/>
      <c r="FL40" s="31"/>
      <c r="FM40" s="31"/>
      <c r="FN40" s="31"/>
      <c r="FO40" s="31"/>
      <c r="FP40" s="31"/>
      <c r="FQ40" s="31"/>
      <c r="FR40" s="31"/>
      <c r="FS40" s="31"/>
      <c r="FT40" s="31"/>
      <c r="FU40" s="31"/>
      <c r="FV40" s="31"/>
      <c r="FW40" s="31"/>
      <c r="FX40" s="31"/>
      <c r="FY40" s="31"/>
      <c r="FZ40" s="31"/>
      <c r="GA40" s="31"/>
      <c r="GB40" s="31"/>
      <c r="GC40" s="31"/>
      <c r="GD40" s="31"/>
      <c r="GE40" s="31"/>
      <c r="GF40" s="31"/>
      <c r="GG40" s="31"/>
      <c r="GH40" s="31"/>
      <c r="GI40" s="31"/>
      <c r="GJ40" s="31"/>
      <c r="GK40" s="31"/>
      <c r="GL40" s="31"/>
      <c r="GM40" s="31"/>
      <c r="GN40" s="31"/>
      <c r="GO40" s="31"/>
      <c r="GP40" s="31"/>
      <c r="GQ40" s="31"/>
      <c r="GR40" s="31"/>
      <c r="GS40" s="31"/>
      <c r="GT40" s="31"/>
      <c r="GU40" s="31"/>
      <c r="GV40" s="31"/>
      <c r="GW40" s="31"/>
      <c r="GX40" s="31"/>
      <c r="GY40" s="31"/>
      <c r="GZ40" s="31"/>
      <c r="HA40" s="31"/>
      <c r="HB40" s="31"/>
      <c r="HC40" s="31"/>
      <c r="HD40" s="31"/>
      <c r="HE40" s="31"/>
      <c r="HF40" s="31"/>
      <c r="HG40" s="31"/>
      <c r="HH40" s="31"/>
      <c r="HI40" s="31"/>
      <c r="HJ40" s="31"/>
      <c r="HK40" s="31"/>
      <c r="HL40" s="31"/>
      <c r="HM40" s="31"/>
      <c r="HN40" s="31"/>
      <c r="HO40" s="31"/>
      <c r="HP40" s="31"/>
      <c r="HQ40" s="31"/>
      <c r="HR40" s="31"/>
      <c r="HS40" s="31"/>
      <c r="HT40" s="31"/>
      <c r="HU40" s="31"/>
      <c r="HV40" s="31"/>
      <c r="HW40" s="31"/>
    </row>
    <row r="41" spans="1:231" s="22" customFormat="1" ht="30" customHeight="1" thickBot="1">
      <c r="A41" s="17"/>
      <c r="B41" s="49"/>
      <c r="C41" s="49" t="s">
        <v>618</v>
      </c>
      <c r="D41" s="48" t="s">
        <v>584</v>
      </c>
      <c r="E41" s="102">
        <v>250</v>
      </c>
      <c r="F41" s="100" t="e">
        <f>SUMIF(#REF!,'Project Schedule Phase 1 Old'!C41,#REF!)</f>
        <v>#REF!</v>
      </c>
      <c r="G41" s="47" t="str">
        <f t="shared" si="9"/>
        <v/>
      </c>
      <c r="H41" s="47">
        <v>0.1</v>
      </c>
      <c r="I41" s="101">
        <v>44221</v>
      </c>
      <c r="J41" s="101">
        <v>44267</v>
      </c>
      <c r="K41" s="46"/>
      <c r="L41" s="46"/>
      <c r="M41" s="32"/>
      <c r="N41" s="32"/>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c r="GG41" s="31"/>
      <c r="GH41" s="31"/>
      <c r="GI41" s="31"/>
      <c r="GJ41" s="31"/>
      <c r="GK41" s="31"/>
      <c r="GL41" s="31"/>
      <c r="GM41" s="31"/>
      <c r="GN41" s="31"/>
      <c r="GO41" s="31"/>
      <c r="GP41" s="31"/>
      <c r="GQ41" s="31"/>
      <c r="GR41" s="31"/>
      <c r="GS41" s="31"/>
      <c r="GT41" s="31"/>
      <c r="GU41" s="31"/>
      <c r="GV41" s="31"/>
      <c r="GW41" s="31"/>
      <c r="GX41" s="31"/>
      <c r="GY41" s="31"/>
      <c r="GZ41" s="31"/>
      <c r="HA41" s="31"/>
      <c r="HB41" s="31"/>
      <c r="HC41" s="31"/>
      <c r="HD41" s="31"/>
      <c r="HE41" s="31"/>
      <c r="HF41" s="31"/>
      <c r="HG41" s="31"/>
      <c r="HH41" s="31"/>
      <c r="HI41" s="31"/>
      <c r="HJ41" s="31"/>
      <c r="HK41" s="31"/>
      <c r="HL41" s="31"/>
      <c r="HM41" s="31"/>
      <c r="HN41" s="31"/>
      <c r="HO41" s="31"/>
      <c r="HP41" s="31"/>
      <c r="HQ41" s="31"/>
      <c r="HR41" s="31"/>
      <c r="HS41" s="31"/>
      <c r="HT41" s="31"/>
      <c r="HU41" s="31"/>
      <c r="HV41" s="31"/>
      <c r="HW41" s="31"/>
    </row>
    <row r="42" spans="1:231" s="22" customFormat="1" ht="30" customHeight="1" thickBot="1">
      <c r="A42" s="17"/>
      <c r="B42" s="49"/>
      <c r="C42" s="49" t="s">
        <v>619</v>
      </c>
      <c r="D42" s="48" t="s">
        <v>584</v>
      </c>
      <c r="E42" s="102">
        <v>200</v>
      </c>
      <c r="F42" s="100" t="e">
        <f>SUMIF(#REF!,'Project Schedule Phase 1 Old'!C42,#REF!)</f>
        <v>#REF!</v>
      </c>
      <c r="G42" s="47" t="str">
        <f t="shared" si="9"/>
        <v/>
      </c>
      <c r="H42" s="47">
        <v>0.25</v>
      </c>
      <c r="I42" s="101">
        <v>44222</v>
      </c>
      <c r="J42" s="101">
        <v>44263</v>
      </c>
      <c r="K42" s="46"/>
      <c r="L42" s="46"/>
      <c r="M42" s="32"/>
      <c r="N42" s="32"/>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c r="GG42" s="31"/>
      <c r="GH42" s="31"/>
      <c r="GI42" s="31"/>
      <c r="GJ42" s="31"/>
      <c r="GK42" s="31"/>
      <c r="GL42" s="31"/>
      <c r="GM42" s="31"/>
      <c r="GN42" s="31"/>
      <c r="GO42" s="31"/>
      <c r="GP42" s="31"/>
      <c r="GQ42" s="31"/>
      <c r="GR42" s="31"/>
      <c r="GS42" s="31"/>
      <c r="GT42" s="31"/>
      <c r="GU42" s="31"/>
      <c r="GV42" s="31"/>
      <c r="GW42" s="31"/>
      <c r="GX42" s="31"/>
      <c r="GY42" s="31"/>
      <c r="GZ42" s="31"/>
      <c r="HA42" s="31"/>
      <c r="HB42" s="31"/>
      <c r="HC42" s="31"/>
      <c r="HD42" s="31"/>
      <c r="HE42" s="31"/>
      <c r="HF42" s="31"/>
      <c r="HG42" s="31"/>
      <c r="HH42" s="31"/>
      <c r="HI42" s="31"/>
      <c r="HJ42" s="31"/>
      <c r="HK42" s="31"/>
      <c r="HL42" s="31"/>
      <c r="HM42" s="31"/>
      <c r="HN42" s="31"/>
      <c r="HO42" s="31"/>
      <c r="HP42" s="31"/>
      <c r="HQ42" s="31"/>
      <c r="HR42" s="31"/>
      <c r="HS42" s="31"/>
      <c r="HT42" s="31"/>
      <c r="HU42" s="31"/>
      <c r="HV42" s="31"/>
      <c r="HW42" s="31"/>
    </row>
    <row r="43" spans="1:231" s="22" customFormat="1" ht="30" customHeight="1" thickBot="1">
      <c r="A43" s="17"/>
      <c r="B43" s="49" t="s">
        <v>620</v>
      </c>
      <c r="C43" s="49" t="s">
        <v>621</v>
      </c>
      <c r="D43" s="48" t="s">
        <v>584</v>
      </c>
      <c r="E43" s="102">
        <v>1.25</v>
      </c>
      <c r="F43" s="100" t="e">
        <f>SUMIF(#REF!,'Project Schedule Phase 1 Old'!C43,#REF!)</f>
        <v>#REF!</v>
      </c>
      <c r="G43" s="47" t="str">
        <f t="shared" si="9"/>
        <v/>
      </c>
      <c r="H43" s="47">
        <v>0</v>
      </c>
      <c r="I43" s="101">
        <v>44224</v>
      </c>
      <c r="J43" s="101">
        <v>44260</v>
      </c>
      <c r="K43" s="46"/>
      <c r="L43" s="46"/>
      <c r="M43" s="32"/>
      <c r="N43" s="32" t="str">
        <f ca="1">IF(OR(ISBLANK(task_start),ISBLANK(task_end)),"",task_end-task_start+1)</f>
        <v/>
      </c>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c r="GG43" s="31"/>
      <c r="GH43" s="31"/>
      <c r="GI43" s="31"/>
      <c r="GJ43" s="31"/>
      <c r="GK43" s="31"/>
      <c r="GL43" s="31"/>
      <c r="GM43" s="31"/>
      <c r="GN43" s="31"/>
      <c r="GO43" s="31"/>
      <c r="GP43" s="31"/>
      <c r="GQ43" s="31"/>
      <c r="GR43" s="31"/>
      <c r="GS43" s="31"/>
      <c r="GT43" s="31"/>
      <c r="GU43" s="31"/>
      <c r="GV43" s="31"/>
      <c r="GW43" s="31"/>
      <c r="GX43" s="31"/>
      <c r="GY43" s="31"/>
      <c r="GZ43" s="31"/>
      <c r="HA43" s="31"/>
      <c r="HB43" s="31"/>
      <c r="HC43" s="31"/>
      <c r="HD43" s="31"/>
      <c r="HE43" s="31"/>
      <c r="HF43" s="31"/>
      <c r="HG43" s="31"/>
      <c r="HH43" s="31"/>
      <c r="HI43" s="31"/>
      <c r="HJ43" s="31"/>
      <c r="HK43" s="31"/>
      <c r="HL43" s="31"/>
      <c r="HM43" s="31"/>
      <c r="HN43" s="31"/>
      <c r="HO43" s="31"/>
      <c r="HP43" s="31"/>
      <c r="HQ43" s="31"/>
      <c r="HR43" s="31"/>
      <c r="HS43" s="31"/>
      <c r="HT43" s="31"/>
      <c r="HU43" s="31"/>
      <c r="HV43" s="31"/>
      <c r="HW43" s="31"/>
    </row>
    <row r="44" spans="1:231" s="22" customFormat="1" ht="30" customHeight="1" thickBot="1">
      <c r="A44" s="17"/>
      <c r="B44" s="49" t="s">
        <v>622</v>
      </c>
      <c r="C44" s="49" t="s">
        <v>623</v>
      </c>
      <c r="D44" s="48" t="s">
        <v>584</v>
      </c>
      <c r="E44" s="102">
        <v>0</v>
      </c>
      <c r="F44" s="100" t="e">
        <f>SUMIF(#REF!,'Project Schedule Phase 1 Old'!C44,#REF!)</f>
        <v>#REF!</v>
      </c>
      <c r="G44" s="47" t="str">
        <f t="shared" si="9"/>
        <v/>
      </c>
      <c r="H44" s="47">
        <v>0</v>
      </c>
      <c r="I44" s="101">
        <v>44244</v>
      </c>
      <c r="J44" s="101">
        <v>44265</v>
      </c>
      <c r="K44" s="46"/>
      <c r="L44" s="46"/>
      <c r="M44" s="32"/>
      <c r="N44" s="32"/>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c r="GG44" s="31"/>
      <c r="GH44" s="31"/>
      <c r="GI44" s="31"/>
      <c r="GJ44" s="31"/>
      <c r="GK44" s="31"/>
      <c r="GL44" s="31"/>
      <c r="GM44" s="31"/>
      <c r="GN44" s="31"/>
      <c r="GO44" s="31"/>
      <c r="GP44" s="31"/>
      <c r="GQ44" s="31"/>
      <c r="GR44" s="31"/>
      <c r="GS44" s="31"/>
      <c r="GT44" s="31"/>
      <c r="GU44" s="31"/>
      <c r="GV44" s="31"/>
      <c r="GW44" s="31"/>
      <c r="GX44" s="31"/>
      <c r="GY44" s="31"/>
      <c r="GZ44" s="31"/>
      <c r="HA44" s="31"/>
      <c r="HB44" s="31"/>
      <c r="HC44" s="31"/>
      <c r="HD44" s="31"/>
      <c r="HE44" s="31"/>
      <c r="HF44" s="31"/>
      <c r="HG44" s="31"/>
      <c r="HH44" s="31"/>
      <c r="HI44" s="31"/>
      <c r="HJ44" s="31"/>
      <c r="HK44" s="31"/>
      <c r="HL44" s="31"/>
      <c r="HM44" s="31"/>
      <c r="HN44" s="31"/>
      <c r="HO44" s="31"/>
      <c r="HP44" s="31"/>
      <c r="HQ44" s="31"/>
      <c r="HR44" s="31"/>
      <c r="HS44" s="31"/>
      <c r="HT44" s="31"/>
      <c r="HU44" s="31"/>
      <c r="HV44" s="31"/>
      <c r="HW44" s="31"/>
    </row>
    <row r="45" spans="1:231" s="22" customFormat="1" ht="30" customHeight="1" thickBot="1">
      <c r="A45" s="17" t="s">
        <v>624</v>
      </c>
      <c r="B45" s="45" t="s">
        <v>625</v>
      </c>
      <c r="C45" s="45"/>
      <c r="D45" s="44"/>
      <c r="E45" s="43"/>
      <c r="F45" s="43"/>
      <c r="G45" s="43"/>
      <c r="H45" s="43"/>
      <c r="I45" s="43"/>
      <c r="J45" s="43"/>
      <c r="K45" s="42"/>
      <c r="L45" s="41"/>
      <c r="M45" s="32"/>
      <c r="N45" s="32" t="str">
        <f ca="1">IF(OR(ISBLANK(task_start),ISBLANK(task_end)),"",task_end-task_start+1)</f>
        <v/>
      </c>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c r="GG45" s="31"/>
      <c r="GH45" s="31"/>
      <c r="GI45" s="31"/>
      <c r="GJ45" s="31"/>
      <c r="GK45" s="31"/>
      <c r="GL45" s="31"/>
      <c r="GM45" s="31"/>
      <c r="GN45" s="31"/>
      <c r="GO45" s="31"/>
      <c r="GP45" s="31"/>
      <c r="GQ45" s="31"/>
      <c r="GR45" s="31"/>
      <c r="GS45" s="31"/>
      <c r="GT45" s="31"/>
      <c r="GU45" s="31"/>
      <c r="GV45" s="31"/>
      <c r="GW45" s="31"/>
      <c r="GX45" s="31"/>
      <c r="GY45" s="31"/>
      <c r="GZ45" s="31"/>
      <c r="HA45" s="31"/>
      <c r="HB45" s="31"/>
      <c r="HC45" s="31"/>
      <c r="HD45" s="31"/>
      <c r="HE45" s="31"/>
      <c r="HF45" s="31"/>
      <c r="HG45" s="31"/>
      <c r="HH45" s="31"/>
      <c r="HI45" s="31"/>
      <c r="HJ45" s="31"/>
      <c r="HK45" s="31"/>
      <c r="HL45" s="31"/>
      <c r="HM45" s="31"/>
      <c r="HN45" s="31"/>
      <c r="HO45" s="31"/>
      <c r="HP45" s="31"/>
      <c r="HQ45" s="31"/>
      <c r="HR45" s="31"/>
      <c r="HS45" s="31"/>
      <c r="HT45" s="31"/>
      <c r="HU45" s="31"/>
      <c r="HV45" s="31"/>
      <c r="HW45" s="31"/>
    </row>
    <row r="46" spans="1:231" s="22" customFormat="1" ht="30" customHeight="1" thickBot="1">
      <c r="A46" s="17"/>
      <c r="B46" s="40" t="s">
        <v>626</v>
      </c>
      <c r="C46" s="40"/>
      <c r="D46" s="39"/>
      <c r="E46" s="38"/>
      <c r="F46" s="38"/>
      <c r="G46" s="38" t="str">
        <f>IFERROR(F46/E46,"")</f>
        <v/>
      </c>
      <c r="H46" s="38"/>
      <c r="I46" s="38"/>
      <c r="J46" s="38"/>
      <c r="K46" s="37"/>
      <c r="L46" s="37"/>
      <c r="M46" s="32"/>
      <c r="N46" s="32" t="str">
        <f ca="1">IF(OR(ISBLANK(task_start),ISBLANK(task_end)),"",task_end-task_start+1)</f>
        <v/>
      </c>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c r="EG46" s="31"/>
      <c r="EH46" s="31"/>
      <c r="EI46" s="31"/>
      <c r="EJ46" s="31"/>
      <c r="EK46" s="31"/>
      <c r="EL46" s="31"/>
      <c r="EM46" s="31"/>
      <c r="EN46" s="31"/>
      <c r="EO46" s="31"/>
      <c r="EP46" s="31"/>
      <c r="EQ46" s="31"/>
      <c r="ER46" s="31"/>
      <c r="ES46" s="31"/>
      <c r="ET46" s="31"/>
      <c r="EU46" s="31"/>
      <c r="EV46" s="31"/>
      <c r="EW46" s="31"/>
      <c r="EX46" s="31"/>
      <c r="EY46" s="31"/>
      <c r="EZ46" s="31"/>
      <c r="FA46" s="31"/>
      <c r="FB46" s="31"/>
      <c r="FC46" s="31"/>
      <c r="FD46" s="31"/>
      <c r="FE46" s="31"/>
      <c r="FF46" s="31"/>
      <c r="FG46" s="31"/>
      <c r="FH46" s="31"/>
      <c r="FI46" s="31"/>
      <c r="FJ46" s="31"/>
      <c r="FK46" s="31"/>
      <c r="FL46" s="31"/>
      <c r="FM46" s="31"/>
      <c r="FN46" s="31"/>
      <c r="FO46" s="31"/>
      <c r="FP46" s="31"/>
      <c r="FQ46" s="31"/>
      <c r="FR46" s="31"/>
      <c r="FS46" s="31"/>
      <c r="FT46" s="31"/>
      <c r="FU46" s="31"/>
      <c r="FV46" s="31"/>
      <c r="FW46" s="31"/>
      <c r="FX46" s="31"/>
      <c r="FY46" s="31"/>
      <c r="FZ46" s="31"/>
      <c r="GA46" s="31"/>
      <c r="GB46" s="31"/>
      <c r="GC46" s="31"/>
      <c r="GD46" s="31"/>
      <c r="GE46" s="31"/>
      <c r="GF46" s="31"/>
      <c r="GG46" s="31"/>
      <c r="GH46" s="31"/>
      <c r="GI46" s="31"/>
      <c r="GJ46" s="31"/>
      <c r="GK46" s="31"/>
      <c r="GL46" s="31"/>
      <c r="GM46" s="31"/>
      <c r="GN46" s="31"/>
      <c r="GO46" s="31"/>
      <c r="GP46" s="31"/>
      <c r="GQ46" s="31"/>
      <c r="GR46" s="31"/>
      <c r="GS46" s="31"/>
      <c r="GT46" s="31"/>
      <c r="GU46" s="31"/>
      <c r="GV46" s="31"/>
      <c r="GW46" s="31"/>
      <c r="GX46" s="31"/>
      <c r="GY46" s="31"/>
      <c r="GZ46" s="31"/>
      <c r="HA46" s="31"/>
      <c r="HB46" s="31"/>
      <c r="HC46" s="31"/>
      <c r="HD46" s="31"/>
      <c r="HE46" s="31"/>
      <c r="HF46" s="31"/>
      <c r="HG46" s="31"/>
      <c r="HH46" s="31"/>
      <c r="HI46" s="31"/>
      <c r="HJ46" s="31"/>
      <c r="HK46" s="31"/>
      <c r="HL46" s="31"/>
      <c r="HM46" s="31"/>
      <c r="HN46" s="31"/>
      <c r="HO46" s="31"/>
      <c r="HP46" s="31"/>
      <c r="HQ46" s="31"/>
      <c r="HR46" s="31"/>
      <c r="HS46" s="31"/>
      <c r="HT46" s="31"/>
      <c r="HU46" s="31"/>
      <c r="HV46" s="31"/>
      <c r="HW46" s="31"/>
    </row>
    <row r="47" spans="1:231" s="22" customFormat="1" ht="30" customHeight="1" thickBot="1">
      <c r="A47" s="17"/>
      <c r="B47" s="40" t="s">
        <v>627</v>
      </c>
      <c r="C47" s="40"/>
      <c r="D47" s="39"/>
      <c r="E47" s="38"/>
      <c r="F47" s="38"/>
      <c r="G47" s="38"/>
      <c r="H47" s="38"/>
      <c r="I47" s="38"/>
      <c r="J47" s="38"/>
      <c r="K47" s="37"/>
      <c r="L47" s="37"/>
      <c r="M47" s="32"/>
      <c r="N47" s="32"/>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c r="GG47" s="31"/>
      <c r="GH47" s="31"/>
      <c r="GI47" s="31"/>
      <c r="GJ47" s="31"/>
      <c r="GK47" s="31"/>
      <c r="GL47" s="31"/>
      <c r="GM47" s="31"/>
      <c r="GN47" s="31"/>
      <c r="GO47" s="31"/>
      <c r="GP47" s="31"/>
      <c r="GQ47" s="31"/>
      <c r="GR47" s="31"/>
      <c r="GS47" s="31"/>
      <c r="GT47" s="31"/>
      <c r="GU47" s="31"/>
      <c r="GV47" s="31"/>
      <c r="GW47" s="31"/>
      <c r="GX47" s="31"/>
      <c r="GY47" s="31"/>
      <c r="GZ47" s="31"/>
      <c r="HA47" s="31"/>
      <c r="HB47" s="31"/>
      <c r="HC47" s="31"/>
      <c r="HD47" s="31"/>
      <c r="HE47" s="31"/>
      <c r="HF47" s="31"/>
      <c r="HG47" s="31"/>
      <c r="HH47" s="31"/>
      <c r="HI47" s="31"/>
      <c r="HJ47" s="31"/>
      <c r="HK47" s="31"/>
      <c r="HL47" s="31"/>
      <c r="HM47" s="31"/>
      <c r="HN47" s="31"/>
      <c r="HO47" s="31"/>
      <c r="HP47" s="31"/>
      <c r="HQ47" s="31"/>
      <c r="HR47" s="31"/>
      <c r="HS47" s="31"/>
      <c r="HT47" s="31"/>
      <c r="HU47" s="31"/>
      <c r="HV47" s="31"/>
      <c r="HW47" s="31"/>
    </row>
    <row r="48" spans="1:231" s="22" customFormat="1" ht="30" customHeight="1" thickBot="1">
      <c r="A48" s="17"/>
      <c r="B48" s="40" t="s">
        <v>628</v>
      </c>
      <c r="C48" s="40"/>
      <c r="D48" s="39"/>
      <c r="E48" s="38"/>
      <c r="F48" s="38"/>
      <c r="G48" s="38"/>
      <c r="H48" s="38"/>
      <c r="I48" s="38"/>
      <c r="J48" s="38"/>
      <c r="K48" s="37"/>
      <c r="L48" s="37"/>
      <c r="M48" s="32"/>
      <c r="N48" s="32"/>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c r="GG48" s="31"/>
      <c r="GH48" s="31"/>
      <c r="GI48" s="31"/>
      <c r="GJ48" s="31"/>
      <c r="GK48" s="31"/>
      <c r="GL48" s="31"/>
      <c r="GM48" s="31"/>
      <c r="GN48" s="31"/>
      <c r="GO48" s="31"/>
      <c r="GP48" s="31"/>
      <c r="GQ48" s="31"/>
      <c r="GR48" s="31"/>
      <c r="GS48" s="31"/>
      <c r="GT48" s="31"/>
      <c r="GU48" s="31"/>
      <c r="GV48" s="31"/>
      <c r="GW48" s="31"/>
      <c r="GX48" s="31"/>
      <c r="GY48" s="31"/>
      <c r="GZ48" s="31"/>
      <c r="HA48" s="31"/>
      <c r="HB48" s="31"/>
      <c r="HC48" s="31"/>
      <c r="HD48" s="31"/>
      <c r="HE48" s="31"/>
      <c r="HF48" s="31"/>
      <c r="HG48" s="31"/>
      <c r="HH48" s="31"/>
      <c r="HI48" s="31"/>
      <c r="HJ48" s="31"/>
      <c r="HK48" s="31"/>
      <c r="HL48" s="31"/>
      <c r="HM48" s="31"/>
      <c r="HN48" s="31"/>
      <c r="HO48" s="31"/>
      <c r="HP48" s="31"/>
      <c r="HQ48" s="31"/>
      <c r="HR48" s="31"/>
      <c r="HS48" s="31"/>
      <c r="HT48" s="31"/>
      <c r="HU48" s="31"/>
      <c r="HV48" s="31"/>
      <c r="HW48" s="31"/>
    </row>
    <row r="49" spans="1:231" s="22" customFormat="1" ht="30" customHeight="1" thickBot="1">
      <c r="A49" s="17"/>
      <c r="B49" s="40" t="s">
        <v>629</v>
      </c>
      <c r="C49" s="40"/>
      <c r="D49" s="39"/>
      <c r="E49" s="38"/>
      <c r="F49" s="38"/>
      <c r="G49" s="38"/>
      <c r="H49" s="38"/>
      <c r="I49" s="38"/>
      <c r="J49" s="38"/>
      <c r="K49" s="37"/>
      <c r="L49" s="37"/>
      <c r="M49" s="32"/>
      <c r="N49" s="32"/>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c r="GG49" s="31"/>
      <c r="GH49" s="31"/>
      <c r="GI49" s="31"/>
      <c r="GJ49" s="31"/>
      <c r="GK49" s="31"/>
      <c r="GL49" s="31"/>
      <c r="GM49" s="31"/>
      <c r="GN49" s="31"/>
      <c r="GO49" s="31"/>
      <c r="GP49" s="31"/>
      <c r="GQ49" s="31"/>
      <c r="GR49" s="31"/>
      <c r="GS49" s="31"/>
      <c r="GT49" s="31"/>
      <c r="GU49" s="31"/>
      <c r="GV49" s="31"/>
      <c r="GW49" s="31"/>
      <c r="GX49" s="31"/>
      <c r="GY49" s="31"/>
      <c r="GZ49" s="31"/>
      <c r="HA49" s="31"/>
      <c r="HB49" s="31"/>
      <c r="HC49" s="31"/>
      <c r="HD49" s="31"/>
      <c r="HE49" s="31"/>
      <c r="HF49" s="31"/>
      <c r="HG49" s="31"/>
      <c r="HH49" s="31"/>
      <c r="HI49" s="31"/>
      <c r="HJ49" s="31"/>
      <c r="HK49" s="31"/>
      <c r="HL49" s="31"/>
      <c r="HM49" s="31"/>
      <c r="HN49" s="31"/>
      <c r="HO49" s="31"/>
      <c r="HP49" s="31"/>
      <c r="HQ49" s="31"/>
      <c r="HR49" s="31"/>
      <c r="HS49" s="31"/>
      <c r="HT49" s="31"/>
      <c r="HU49" s="31"/>
      <c r="HV49" s="31"/>
      <c r="HW49" s="31"/>
    </row>
    <row r="50" spans="1:231" s="22" customFormat="1" ht="30" customHeight="1" thickBot="1">
      <c r="A50" s="17"/>
      <c r="B50" s="40"/>
      <c r="C50" s="40"/>
      <c r="D50" s="39"/>
      <c r="E50" s="38"/>
      <c r="F50" s="38"/>
      <c r="G50" s="38" t="str">
        <f>IFERROR(F50/E50,"")</f>
        <v/>
      </c>
      <c r="H50" s="38"/>
      <c r="I50" s="38"/>
      <c r="J50" s="38"/>
      <c r="K50" s="37"/>
      <c r="L50" s="37"/>
      <c r="M50" s="32"/>
      <c r="N50" s="32" t="str">
        <f t="shared" ref="N50:N55" ca="1" si="10">IF(OR(ISBLANK(task_start),ISBLANK(task_end)),"",task_end-task_start+1)</f>
        <v/>
      </c>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c r="DQ50" s="31"/>
      <c r="DR50" s="31"/>
      <c r="DS50" s="31"/>
      <c r="DT50" s="31"/>
      <c r="DU50" s="31"/>
      <c r="DV50" s="31"/>
      <c r="DW50" s="31"/>
      <c r="DX50" s="31"/>
      <c r="DY50" s="31"/>
      <c r="DZ50" s="31"/>
      <c r="EA50" s="31"/>
      <c r="EB50" s="31"/>
      <c r="EC50" s="31"/>
      <c r="ED50" s="31"/>
      <c r="EE50" s="31"/>
      <c r="EF50" s="31"/>
      <c r="EG50" s="31"/>
      <c r="EH50" s="31"/>
      <c r="EI50" s="31"/>
      <c r="EJ50" s="31"/>
      <c r="EK50" s="31"/>
      <c r="EL50" s="31"/>
      <c r="EM50" s="31"/>
      <c r="EN50" s="31"/>
      <c r="EO50" s="31"/>
      <c r="EP50" s="31"/>
      <c r="EQ50" s="31"/>
      <c r="ER50" s="31"/>
      <c r="ES50" s="31"/>
      <c r="ET50" s="31"/>
      <c r="EU50" s="31"/>
      <c r="EV50" s="31"/>
      <c r="EW50" s="31"/>
      <c r="EX50" s="31"/>
      <c r="EY50" s="31"/>
      <c r="EZ50" s="31"/>
      <c r="FA50" s="31"/>
      <c r="FB50" s="31"/>
      <c r="FC50" s="31"/>
      <c r="FD50" s="31"/>
      <c r="FE50" s="31"/>
      <c r="FF50" s="31"/>
      <c r="FG50" s="31"/>
      <c r="FH50" s="31"/>
      <c r="FI50" s="31"/>
      <c r="FJ50" s="31"/>
      <c r="FK50" s="31"/>
      <c r="FL50" s="31"/>
      <c r="FM50" s="31"/>
      <c r="FN50" s="31"/>
      <c r="FO50" s="31"/>
      <c r="FP50" s="31"/>
      <c r="FQ50" s="31"/>
      <c r="FR50" s="31"/>
      <c r="FS50" s="31"/>
      <c r="FT50" s="31"/>
      <c r="FU50" s="31"/>
      <c r="FV50" s="31"/>
      <c r="FW50" s="31"/>
      <c r="FX50" s="31"/>
      <c r="FY50" s="31"/>
      <c r="FZ50" s="31"/>
      <c r="GA50" s="31"/>
      <c r="GB50" s="31"/>
      <c r="GC50" s="31"/>
      <c r="GD50" s="31"/>
      <c r="GE50" s="31"/>
      <c r="GF50" s="31"/>
      <c r="GG50" s="31"/>
      <c r="GH50" s="31"/>
      <c r="GI50" s="31"/>
      <c r="GJ50" s="31"/>
      <c r="GK50" s="31"/>
      <c r="GL50" s="31"/>
      <c r="GM50" s="31"/>
      <c r="GN50" s="31"/>
      <c r="GO50" s="31"/>
      <c r="GP50" s="31"/>
      <c r="GQ50" s="31"/>
      <c r="GR50" s="31"/>
      <c r="GS50" s="31"/>
      <c r="GT50" s="31"/>
      <c r="GU50" s="31"/>
      <c r="GV50" s="31"/>
      <c r="GW50" s="31"/>
      <c r="GX50" s="31"/>
      <c r="GY50" s="31"/>
      <c r="GZ50" s="31"/>
      <c r="HA50" s="31"/>
      <c r="HB50" s="31"/>
      <c r="HC50" s="31"/>
      <c r="HD50" s="31"/>
      <c r="HE50" s="31"/>
      <c r="HF50" s="31"/>
      <c r="HG50" s="31"/>
      <c r="HH50" s="31"/>
      <c r="HI50" s="31"/>
      <c r="HJ50" s="31"/>
      <c r="HK50" s="31"/>
      <c r="HL50" s="31"/>
      <c r="HM50" s="31"/>
      <c r="HN50" s="31"/>
      <c r="HO50" s="31"/>
      <c r="HP50" s="31"/>
      <c r="HQ50" s="31"/>
      <c r="HR50" s="31"/>
      <c r="HS50" s="31"/>
      <c r="HT50" s="31"/>
      <c r="HU50" s="31"/>
      <c r="HV50" s="31"/>
      <c r="HW50" s="31"/>
    </row>
    <row r="51" spans="1:231" s="22" customFormat="1" ht="30" customHeight="1" thickBot="1">
      <c r="A51" s="17"/>
      <c r="B51" s="40"/>
      <c r="C51" s="40"/>
      <c r="D51" s="39"/>
      <c r="E51" s="38"/>
      <c r="F51" s="38"/>
      <c r="G51" s="38" t="str">
        <f>IFERROR(F51/E51,"")</f>
        <v/>
      </c>
      <c r="H51" s="38"/>
      <c r="I51" s="38"/>
      <c r="J51" s="38"/>
      <c r="K51" s="37"/>
      <c r="L51" s="37"/>
      <c r="M51" s="32"/>
      <c r="N51" s="32" t="str">
        <f t="shared" ca="1" si="10"/>
        <v/>
      </c>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c r="GG51" s="31"/>
      <c r="GH51" s="31"/>
      <c r="GI51" s="31"/>
      <c r="GJ51" s="31"/>
      <c r="GK51" s="31"/>
      <c r="GL51" s="31"/>
      <c r="GM51" s="31"/>
      <c r="GN51" s="31"/>
      <c r="GO51" s="31"/>
      <c r="GP51" s="31"/>
      <c r="GQ51" s="31"/>
      <c r="GR51" s="31"/>
      <c r="GS51" s="31"/>
      <c r="GT51" s="31"/>
      <c r="GU51" s="31"/>
      <c r="GV51" s="31"/>
      <c r="GW51" s="31"/>
      <c r="GX51" s="31"/>
      <c r="GY51" s="31"/>
      <c r="GZ51" s="31"/>
      <c r="HA51" s="31"/>
      <c r="HB51" s="31"/>
      <c r="HC51" s="31"/>
      <c r="HD51" s="31"/>
      <c r="HE51" s="31"/>
      <c r="HF51" s="31"/>
      <c r="HG51" s="31"/>
      <c r="HH51" s="31"/>
      <c r="HI51" s="31"/>
      <c r="HJ51" s="31"/>
      <c r="HK51" s="31"/>
      <c r="HL51" s="31"/>
      <c r="HM51" s="31"/>
      <c r="HN51" s="31"/>
      <c r="HO51" s="31"/>
      <c r="HP51" s="31"/>
      <c r="HQ51" s="31"/>
      <c r="HR51" s="31"/>
      <c r="HS51" s="31"/>
      <c r="HT51" s="31"/>
      <c r="HU51" s="31"/>
      <c r="HV51" s="31"/>
      <c r="HW51" s="31"/>
    </row>
    <row r="52" spans="1:231" s="22" customFormat="1" ht="30" customHeight="1" thickBot="1">
      <c r="A52" s="17"/>
      <c r="B52" s="40"/>
      <c r="C52" s="40"/>
      <c r="D52" s="39"/>
      <c r="E52" s="38"/>
      <c r="F52" s="38"/>
      <c r="G52" s="38" t="str">
        <f>IFERROR(F52/E52,"")</f>
        <v/>
      </c>
      <c r="H52" s="38"/>
      <c r="I52" s="38"/>
      <c r="J52" s="38"/>
      <c r="K52" s="37"/>
      <c r="L52" s="37"/>
      <c r="M52" s="32"/>
      <c r="N52" s="32" t="str">
        <f t="shared" ca="1" si="10"/>
        <v/>
      </c>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c r="GG52" s="31"/>
      <c r="GH52" s="31"/>
      <c r="GI52" s="31"/>
      <c r="GJ52" s="31"/>
      <c r="GK52" s="31"/>
      <c r="GL52" s="31"/>
      <c r="GM52" s="31"/>
      <c r="GN52" s="31"/>
      <c r="GO52" s="31"/>
      <c r="GP52" s="31"/>
      <c r="GQ52" s="31"/>
      <c r="GR52" s="31"/>
      <c r="GS52" s="31"/>
      <c r="GT52" s="31"/>
      <c r="GU52" s="31"/>
      <c r="GV52" s="31"/>
      <c r="GW52" s="31"/>
      <c r="GX52" s="31"/>
      <c r="GY52" s="31"/>
      <c r="GZ52" s="31"/>
      <c r="HA52" s="31"/>
      <c r="HB52" s="31"/>
      <c r="HC52" s="31"/>
      <c r="HD52" s="31"/>
      <c r="HE52" s="31"/>
      <c r="HF52" s="31"/>
      <c r="HG52" s="31"/>
      <c r="HH52" s="31"/>
      <c r="HI52" s="31"/>
      <c r="HJ52" s="31"/>
      <c r="HK52" s="31"/>
      <c r="HL52" s="31"/>
      <c r="HM52" s="31"/>
      <c r="HN52" s="31"/>
      <c r="HO52" s="31"/>
      <c r="HP52" s="31"/>
      <c r="HQ52" s="31"/>
      <c r="HR52" s="31"/>
      <c r="HS52" s="31"/>
      <c r="HT52" s="31"/>
      <c r="HU52" s="31"/>
      <c r="HV52" s="31"/>
      <c r="HW52" s="31"/>
    </row>
    <row r="53" spans="1:231" s="22" customFormat="1" ht="30" customHeight="1" thickBot="1">
      <c r="A53" s="17"/>
      <c r="B53" s="40"/>
      <c r="C53" s="40"/>
      <c r="D53" s="39"/>
      <c r="E53" s="38"/>
      <c r="F53" s="38"/>
      <c r="G53" s="38" t="str">
        <f>IFERROR(F53/E53,"")</f>
        <v/>
      </c>
      <c r="H53" s="38"/>
      <c r="I53" s="38"/>
      <c r="J53" s="38"/>
      <c r="K53" s="37"/>
      <c r="L53" s="37"/>
      <c r="M53" s="32"/>
      <c r="N53" s="32" t="str">
        <f t="shared" ca="1" si="10"/>
        <v/>
      </c>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c r="GG53" s="31"/>
      <c r="GH53" s="31"/>
      <c r="GI53" s="31"/>
      <c r="GJ53" s="31"/>
      <c r="GK53" s="31"/>
      <c r="GL53" s="31"/>
      <c r="GM53" s="31"/>
      <c r="GN53" s="31"/>
      <c r="GO53" s="31"/>
      <c r="GP53" s="31"/>
      <c r="GQ53" s="31"/>
      <c r="GR53" s="31"/>
      <c r="GS53" s="31"/>
      <c r="GT53" s="31"/>
      <c r="GU53" s="31"/>
      <c r="GV53" s="31"/>
      <c r="GW53" s="31"/>
      <c r="GX53" s="31"/>
      <c r="GY53" s="31"/>
      <c r="GZ53" s="31"/>
      <c r="HA53" s="31"/>
      <c r="HB53" s="31"/>
      <c r="HC53" s="31"/>
      <c r="HD53" s="31"/>
      <c r="HE53" s="31"/>
      <c r="HF53" s="31"/>
      <c r="HG53" s="31"/>
      <c r="HH53" s="31"/>
      <c r="HI53" s="31"/>
      <c r="HJ53" s="31"/>
      <c r="HK53" s="31"/>
      <c r="HL53" s="31"/>
      <c r="HM53" s="31"/>
      <c r="HN53" s="31"/>
      <c r="HO53" s="31"/>
      <c r="HP53" s="31"/>
      <c r="HQ53" s="31"/>
      <c r="HR53" s="31"/>
      <c r="HS53" s="31"/>
      <c r="HT53" s="31"/>
      <c r="HU53" s="31"/>
      <c r="HV53" s="31"/>
      <c r="HW53" s="31"/>
    </row>
    <row r="54" spans="1:231" s="22" customFormat="1" ht="30" customHeight="1" thickBot="1">
      <c r="A54" s="17" t="s">
        <v>630</v>
      </c>
      <c r="B54" s="36"/>
      <c r="C54" s="36"/>
      <c r="D54" s="35"/>
      <c r="E54" s="34"/>
      <c r="F54" s="34"/>
      <c r="G54" s="34"/>
      <c r="H54" s="34"/>
      <c r="I54" s="34"/>
      <c r="J54" s="34"/>
      <c r="K54" s="33"/>
      <c r="L54" s="33"/>
      <c r="M54" s="32"/>
      <c r="N54" s="32" t="str">
        <f t="shared" ca="1" si="10"/>
        <v/>
      </c>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c r="GG54" s="31"/>
      <c r="GH54" s="31"/>
      <c r="GI54" s="31"/>
      <c r="GJ54" s="31"/>
      <c r="GK54" s="31"/>
      <c r="GL54" s="31"/>
      <c r="GM54" s="31"/>
      <c r="GN54" s="31"/>
      <c r="GO54" s="31"/>
      <c r="GP54" s="31"/>
      <c r="GQ54" s="31"/>
      <c r="GR54" s="31"/>
      <c r="GS54" s="31"/>
      <c r="GT54" s="31"/>
      <c r="GU54" s="31"/>
      <c r="GV54" s="31"/>
      <c r="GW54" s="31"/>
      <c r="GX54" s="31"/>
      <c r="GY54" s="31"/>
      <c r="GZ54" s="31"/>
      <c r="HA54" s="31"/>
      <c r="HB54" s="31"/>
      <c r="HC54" s="31"/>
      <c r="HD54" s="31"/>
      <c r="HE54" s="31"/>
      <c r="HF54" s="31"/>
      <c r="HG54" s="31"/>
      <c r="HH54" s="31"/>
      <c r="HI54" s="31"/>
      <c r="HJ54" s="31"/>
      <c r="HK54" s="31"/>
      <c r="HL54" s="31"/>
      <c r="HM54" s="31"/>
      <c r="HN54" s="31"/>
      <c r="HO54" s="31"/>
      <c r="HP54" s="31"/>
      <c r="HQ54" s="31"/>
      <c r="HR54" s="31"/>
      <c r="HS54" s="31"/>
      <c r="HT54" s="31"/>
      <c r="HU54" s="31"/>
      <c r="HV54" s="31"/>
      <c r="HW54" s="31"/>
    </row>
    <row r="55" spans="1:231" s="22" customFormat="1" ht="30" customHeight="1" thickBot="1">
      <c r="A55" s="30" t="s">
        <v>631</v>
      </c>
      <c r="B55" s="29" t="s">
        <v>632</v>
      </c>
      <c r="C55" s="29"/>
      <c r="D55" s="28"/>
      <c r="E55" s="27"/>
      <c r="F55" s="27"/>
      <c r="G55" s="27"/>
      <c r="H55" s="27"/>
      <c r="I55" s="27"/>
      <c r="J55" s="27"/>
      <c r="K55" s="26"/>
      <c r="L55" s="25"/>
      <c r="M55" s="24"/>
      <c r="N55" s="24" t="str">
        <f t="shared" ca="1" si="10"/>
        <v/>
      </c>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row>
    <row r="56" spans="1:231" ht="30" customHeight="1">
      <c r="M56" s="21"/>
    </row>
    <row r="57" spans="1:231" ht="30" customHeight="1">
      <c r="D57" s="20"/>
      <c r="L57" s="19"/>
    </row>
    <row r="58" spans="1:231" ht="30" customHeight="1">
      <c r="D58" s="18"/>
    </row>
  </sheetData>
  <mergeCells count="38">
    <mergeCell ref="D3:E3"/>
    <mergeCell ref="H3:I3"/>
    <mergeCell ref="J3:L3"/>
    <mergeCell ref="D4:E4"/>
    <mergeCell ref="H4:I4"/>
    <mergeCell ref="J4:L4"/>
    <mergeCell ref="O4:U4"/>
    <mergeCell ref="V4:AB4"/>
    <mergeCell ref="AC4:AI4"/>
    <mergeCell ref="AJ4:AP4"/>
    <mergeCell ref="AQ4:AW4"/>
    <mergeCell ref="FM4:FS4"/>
    <mergeCell ref="AX4:BD4"/>
    <mergeCell ref="BE4:BK4"/>
    <mergeCell ref="BL4:BR4"/>
    <mergeCell ref="BS4:BY4"/>
    <mergeCell ref="BZ4:CF4"/>
    <mergeCell ref="ED4:EJ4"/>
    <mergeCell ref="CG4:CM4"/>
    <mergeCell ref="CN4:CT4"/>
    <mergeCell ref="EY4:FE4"/>
    <mergeCell ref="FF4:FL4"/>
    <mergeCell ref="HQ4:HW4"/>
    <mergeCell ref="B5:M5"/>
    <mergeCell ref="GA4:GG4"/>
    <mergeCell ref="GH4:GN4"/>
    <mergeCell ref="GO4:GU4"/>
    <mergeCell ref="GV4:HB4"/>
    <mergeCell ref="HC4:HI4"/>
    <mergeCell ref="HJ4:HP4"/>
    <mergeCell ref="EK4:EQ4"/>
    <mergeCell ref="ER4:EX4"/>
    <mergeCell ref="FT4:FZ4"/>
    <mergeCell ref="CU4:DA4"/>
    <mergeCell ref="DB4:DH4"/>
    <mergeCell ref="DI4:DO4"/>
    <mergeCell ref="DP4:DV4"/>
    <mergeCell ref="DW4:EC4"/>
  </mergeCells>
  <conditionalFormatting sqref="G9:H53">
    <cfRule type="dataBar" priority="18">
      <dataBar>
        <cfvo type="num" val="0"/>
        <cfvo type="num" val="1"/>
        <color theme="0" tint="-0.249977111117893"/>
      </dataBar>
      <extLst>
        <ext xmlns:x14="http://schemas.microsoft.com/office/spreadsheetml/2009/9/main" uri="{B025F937-C7B1-47D3-B67F-A62EFF666E3E}">
          <x14:id>{4EE6FE9D-B445-4CF0-B7A8-005801B70B48}</x14:id>
        </ext>
      </extLst>
    </cfRule>
  </conditionalFormatting>
  <conditionalFormatting sqref="I20:J21">
    <cfRule type="timePeriod" dxfId="7" priority="14" timePeriod="lastWeek">
      <formula>AND(TODAY()-ROUNDDOWN(I20,0)&gt;=(WEEKDAY(TODAY())),TODAY()-ROUNDDOWN(I20,0)&lt;(WEEKDAY(TODAY())+7))</formula>
    </cfRule>
  </conditionalFormatting>
  <conditionalFormatting sqref="J22">
    <cfRule type="timePeriod" dxfId="6" priority="13" timePeriod="lastWeek">
      <formula>AND(TODAY()-ROUNDDOWN(J22,0)&gt;=(WEEKDAY(TODAY())),TODAY()-ROUNDDOWN(J22,0)&lt;(WEEKDAY(TODAY())+7))</formula>
    </cfRule>
  </conditionalFormatting>
  <conditionalFormatting sqref="K21">
    <cfRule type="timePeriod" dxfId="5" priority="12" timePeriod="lastWeek">
      <formula>AND(TODAY()-ROUNDDOWN(K21,0)&gt;=(WEEKDAY(TODAY())),TODAY()-ROUNDDOWN(K21,0)&lt;(WEEKDAY(TODAY())+7))</formula>
    </cfRule>
  </conditionalFormatting>
  <conditionalFormatting sqref="O8">
    <cfRule type="expression" dxfId="4" priority="17">
      <formula>AND(task_end&gt;=O$5,task_start&lt;P$5)</formula>
    </cfRule>
  </conditionalFormatting>
  <conditionalFormatting sqref="O5:HW55">
    <cfRule type="expression" dxfId="3" priority="21">
      <formula>AND(TODAY()&gt;=O$5,TODAY()&lt;P$5)</formula>
    </cfRule>
  </conditionalFormatting>
  <conditionalFormatting sqref="O7:HW55">
    <cfRule type="expression" dxfId="2" priority="19">
      <formula>AND(PlannedStart&lt;=O$5,ROUNDDOWN((IF(task_end="",PlannedEnd,task_end)-PlannedStart+1)*task_progress,0)+PlannedStart-1&gt;=O$5)</formula>
    </cfRule>
    <cfRule type="expression" dxfId="1" priority="20" stopIfTrue="1">
      <formula>AND(task_end&gt;=O$5,task_start&lt;P$5)</formula>
    </cfRule>
  </conditionalFormatting>
  <conditionalFormatting sqref="O8:HW53">
    <cfRule type="expression" dxfId="0" priority="16">
      <formula>AND(PlannedEnd&gt;=O$5,PlannedStart&lt;P$5)</formula>
    </cfRule>
  </conditionalFormatting>
  <dataValidations count="1">
    <dataValidation type="whole" operator="greaterThanOrEqual" allowBlank="1" showInputMessage="1" promptTitle="Display Week" prompt="Changing this number will scroll the Gantt Chart view." sqref="J4" xr:uid="{D4D1DDBD-75B4-4E92-9383-1603881D40B9}">
      <formula1>1</formula1>
    </dataValidation>
  </dataValidations>
  <printOptions horizontalCentered="1"/>
  <pageMargins left="0.35" right="0.35" top="0.35" bottom="0.5" header="0.3" footer="0.3"/>
  <pageSetup scale="18"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4EE6FE9D-B445-4CF0-B7A8-005801B70B48}">
            <x14:dataBar minLength="0" maxLength="100" gradient="0">
              <x14:cfvo type="num">
                <xm:f>0</xm:f>
              </x14:cfvo>
              <x14:cfvo type="num">
                <xm:f>1</xm:f>
              </x14:cfvo>
              <x14:negativeFillColor rgb="FFFF0000"/>
              <x14:axisColor rgb="FF000000"/>
            </x14:dataBar>
          </x14:cfRule>
          <xm:sqref>G9:H53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FE7E-03B2-4E5A-993D-568EA66BFC45}">
  <sheetPr codeName="Sheet16"/>
  <dimension ref="A1:F24"/>
  <sheetViews>
    <sheetView zoomScale="115" zoomScaleNormal="115" workbookViewId="0"/>
  </sheetViews>
  <sheetFormatPr defaultColWidth="8.85546875" defaultRowHeight="15"/>
  <cols>
    <col min="1" max="1" width="92.85546875" bestFit="1" customWidth="1"/>
    <col min="2" max="2" width="13.42578125" bestFit="1" customWidth="1"/>
    <col min="3" max="3" width="13" bestFit="1" customWidth="1"/>
    <col min="4" max="4" width="13.42578125" bestFit="1" customWidth="1"/>
    <col min="5" max="5" width="12.42578125" bestFit="1" customWidth="1"/>
  </cols>
  <sheetData>
    <row r="1" spans="1:5" ht="15.75" thickBot="1">
      <c r="A1" s="63" t="s">
        <v>633</v>
      </c>
      <c r="B1" s="63" t="s">
        <v>634</v>
      </c>
      <c r="C1" s="63" t="s">
        <v>635</v>
      </c>
      <c r="D1" s="63" t="s">
        <v>636</v>
      </c>
      <c r="E1" s="63" t="s">
        <v>637</v>
      </c>
    </row>
    <row r="2" spans="1:5" ht="15.75" thickBot="1">
      <c r="A2" s="58" t="s">
        <v>595</v>
      </c>
      <c r="B2" s="96">
        <v>1</v>
      </c>
      <c r="C2" s="96">
        <v>1</v>
      </c>
      <c r="D2" s="96">
        <v>1</v>
      </c>
      <c r="E2" s="96">
        <v>1</v>
      </c>
    </row>
    <row r="3" spans="1:5" ht="15.75" thickBot="1">
      <c r="A3" s="79" t="s">
        <v>597</v>
      </c>
      <c r="B3" s="96">
        <v>1</v>
      </c>
      <c r="C3" s="96">
        <v>1</v>
      </c>
      <c r="D3" s="96">
        <v>1</v>
      </c>
      <c r="E3" s="96">
        <v>1</v>
      </c>
    </row>
    <row r="4" spans="1:5" ht="15.75" thickBot="1">
      <c r="A4" s="58" t="s">
        <v>599</v>
      </c>
      <c r="B4" s="96">
        <v>0</v>
      </c>
      <c r="C4" s="96">
        <v>1</v>
      </c>
      <c r="D4" s="96">
        <v>0.3</v>
      </c>
      <c r="E4" s="96">
        <v>0.5</v>
      </c>
    </row>
    <row r="5" spans="1:5" ht="15.75" thickBot="1">
      <c r="A5" s="58" t="s">
        <v>600</v>
      </c>
      <c r="B5" s="96">
        <v>1</v>
      </c>
      <c r="C5" s="108">
        <v>1</v>
      </c>
      <c r="D5" s="96">
        <v>1</v>
      </c>
      <c r="E5" s="96">
        <v>1</v>
      </c>
    </row>
    <row r="6" spans="1:5" ht="15.75" thickBot="1">
      <c r="A6" s="58" t="s">
        <v>601</v>
      </c>
      <c r="B6" s="96">
        <v>0.15</v>
      </c>
      <c r="C6" s="96">
        <v>0.15</v>
      </c>
      <c r="D6" s="96">
        <v>0.15</v>
      </c>
      <c r="E6" s="96">
        <v>0.15</v>
      </c>
    </row>
    <row r="7" spans="1:5" ht="15.75" thickBot="1">
      <c r="A7" s="58" t="s">
        <v>638</v>
      </c>
      <c r="B7" s="96">
        <v>0</v>
      </c>
      <c r="C7" s="96">
        <v>0</v>
      </c>
      <c r="D7" s="96">
        <v>0</v>
      </c>
      <c r="E7" s="96">
        <v>0</v>
      </c>
    </row>
    <row r="8" spans="1:5" ht="15.75" thickBot="1">
      <c r="A8" s="58" t="s">
        <v>639</v>
      </c>
      <c r="B8" s="96">
        <v>0</v>
      </c>
      <c r="C8" s="96">
        <v>0</v>
      </c>
      <c r="D8" s="96">
        <v>0.05</v>
      </c>
      <c r="E8" s="96">
        <v>0.1</v>
      </c>
    </row>
    <row r="9" spans="1:5" ht="15.75" thickBot="1">
      <c r="A9" s="58" t="s">
        <v>640</v>
      </c>
      <c r="B9" s="96">
        <v>0</v>
      </c>
      <c r="C9" s="96">
        <v>0</v>
      </c>
      <c r="D9" s="96">
        <v>0</v>
      </c>
      <c r="E9" s="96">
        <v>0</v>
      </c>
    </row>
    <row r="10" spans="1:5" ht="15.75" thickBot="1">
      <c r="A10" s="58" t="s">
        <v>607</v>
      </c>
      <c r="B10" s="96">
        <v>1</v>
      </c>
      <c r="C10" s="96">
        <v>1</v>
      </c>
      <c r="D10" s="96">
        <v>1</v>
      </c>
      <c r="E10" s="96">
        <v>1</v>
      </c>
    </row>
    <row r="11" spans="1:5" ht="15.75" thickBot="1">
      <c r="A11" s="58" t="s">
        <v>609</v>
      </c>
      <c r="B11" s="96">
        <v>0.5</v>
      </c>
      <c r="C11" s="96">
        <v>1</v>
      </c>
      <c r="D11" s="96">
        <v>0.5</v>
      </c>
      <c r="E11" s="96">
        <v>0.5</v>
      </c>
    </row>
    <row r="12" spans="1:5" ht="15.75" thickBot="1">
      <c r="A12" s="58" t="s">
        <v>611</v>
      </c>
      <c r="B12" s="96">
        <v>0</v>
      </c>
      <c r="C12" s="96">
        <v>1</v>
      </c>
      <c r="D12" s="96">
        <v>1</v>
      </c>
      <c r="E12" s="96">
        <v>1</v>
      </c>
    </row>
    <row r="13" spans="1:5" ht="15.75" thickBot="1">
      <c r="A13" s="58" t="s">
        <v>612</v>
      </c>
      <c r="B13" s="96">
        <v>0</v>
      </c>
      <c r="C13" s="96">
        <v>0</v>
      </c>
      <c r="D13" s="96">
        <v>0</v>
      </c>
      <c r="E13" s="96">
        <v>0</v>
      </c>
    </row>
    <row r="14" spans="1:5" ht="15.75" thickBot="1">
      <c r="A14" s="58" t="s">
        <v>613</v>
      </c>
      <c r="B14" s="96">
        <v>0</v>
      </c>
      <c r="C14" s="96">
        <v>0</v>
      </c>
      <c r="D14" s="96">
        <v>0</v>
      </c>
      <c r="E14" s="96">
        <v>0</v>
      </c>
    </row>
    <row r="15" spans="1:5" ht="15.75" thickBot="1">
      <c r="A15" s="58" t="s">
        <v>614</v>
      </c>
      <c r="B15" s="96">
        <v>0</v>
      </c>
      <c r="C15" s="96">
        <v>0</v>
      </c>
      <c r="D15" s="96">
        <v>0</v>
      </c>
      <c r="E15" s="96">
        <v>0</v>
      </c>
    </row>
    <row r="16" spans="1:5" ht="15.75" thickBot="1">
      <c r="A16" s="58" t="s">
        <v>615</v>
      </c>
      <c r="B16" s="96">
        <v>0</v>
      </c>
      <c r="C16" s="96">
        <v>0</v>
      </c>
      <c r="D16" s="96">
        <v>0</v>
      </c>
      <c r="E16" s="96">
        <v>0</v>
      </c>
    </row>
    <row r="17" spans="1:6" ht="15.75" thickBot="1">
      <c r="A17" s="58" t="s">
        <v>616</v>
      </c>
      <c r="B17" s="96">
        <v>0</v>
      </c>
      <c r="C17" s="96">
        <v>0</v>
      </c>
      <c r="D17" s="96">
        <v>0</v>
      </c>
      <c r="E17" s="96">
        <v>0</v>
      </c>
    </row>
    <row r="18" spans="1:6" ht="15.75" thickBot="1">
      <c r="A18" s="58" t="s">
        <v>641</v>
      </c>
      <c r="B18" s="96">
        <v>0.05</v>
      </c>
      <c r="C18" s="96">
        <v>0.13</v>
      </c>
      <c r="D18" s="96">
        <v>0.13</v>
      </c>
      <c r="E18" s="96">
        <v>0.13</v>
      </c>
    </row>
    <row r="19" spans="1:6" ht="15.75" thickBot="1">
      <c r="A19" s="58" t="s">
        <v>642</v>
      </c>
      <c r="B19" s="96">
        <v>1</v>
      </c>
      <c r="C19" s="96">
        <v>1</v>
      </c>
      <c r="D19" s="96">
        <v>1</v>
      </c>
      <c r="E19" s="96">
        <v>1</v>
      </c>
    </row>
    <row r="20" spans="1:6" ht="15.75" thickBot="1">
      <c r="A20" s="58" t="s">
        <v>643</v>
      </c>
      <c r="B20" s="96">
        <v>0</v>
      </c>
      <c r="C20" s="96">
        <v>0</v>
      </c>
      <c r="D20" s="96">
        <v>0</v>
      </c>
      <c r="E20" s="96">
        <v>0</v>
      </c>
      <c r="F20" s="16"/>
    </row>
    <row r="21" spans="1:6" ht="15.75" thickBot="1">
      <c r="A21" s="58" t="s">
        <v>618</v>
      </c>
      <c r="B21" s="96">
        <v>0.35</v>
      </c>
      <c r="C21" s="96">
        <v>0.6</v>
      </c>
      <c r="D21" s="96">
        <v>0.5</v>
      </c>
      <c r="E21" s="96">
        <v>0.8</v>
      </c>
      <c r="F21" s="16"/>
    </row>
    <row r="22" spans="1:6" ht="15.75" thickBot="1">
      <c r="A22" s="58" t="s">
        <v>619</v>
      </c>
      <c r="B22" s="96">
        <v>0.8</v>
      </c>
      <c r="C22" s="96">
        <v>0.85</v>
      </c>
      <c r="D22" s="96">
        <v>0.85</v>
      </c>
      <c r="E22" s="96">
        <v>1</v>
      </c>
      <c r="F22" s="16"/>
    </row>
    <row r="23" spans="1:6" ht="15.75" thickBot="1">
      <c r="A23" s="58" t="s">
        <v>621</v>
      </c>
      <c r="B23" s="96">
        <v>0</v>
      </c>
      <c r="C23" s="96">
        <v>0.3</v>
      </c>
      <c r="D23" s="96">
        <v>0.3</v>
      </c>
      <c r="E23" s="96">
        <v>0.7</v>
      </c>
      <c r="F23" s="16"/>
    </row>
    <row r="24" spans="1:6" ht="15.75" thickBot="1">
      <c r="A24" s="58" t="s">
        <v>623</v>
      </c>
      <c r="B24" s="96">
        <v>0</v>
      </c>
      <c r="C24" s="96">
        <v>0</v>
      </c>
      <c r="D24" s="96">
        <v>0</v>
      </c>
      <c r="E24" s="96">
        <v>0</v>
      </c>
    </row>
  </sheetData>
  <conditionalFormatting sqref="B2:E24">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ED58-0A9D-4C64-A56E-7C2665F059DF}">
  <sheetPr codeName="Sheet17"/>
  <dimension ref="A1:F24"/>
  <sheetViews>
    <sheetView zoomScale="115" zoomScaleNormal="115" workbookViewId="0">
      <selection activeCell="C2" sqref="C2"/>
    </sheetView>
  </sheetViews>
  <sheetFormatPr defaultColWidth="8.85546875" defaultRowHeight="15"/>
  <cols>
    <col min="1" max="1" width="92.85546875" bestFit="1" customWidth="1"/>
    <col min="2" max="2" width="13.42578125" bestFit="1" customWidth="1"/>
    <col min="3" max="3" width="13" bestFit="1" customWidth="1"/>
    <col min="4" max="4" width="13.42578125" bestFit="1" customWidth="1"/>
    <col min="5" max="5" width="12.42578125" bestFit="1" customWidth="1"/>
  </cols>
  <sheetData>
    <row r="1" spans="1:5" ht="15.75" thickBot="1">
      <c r="A1" s="63" t="s">
        <v>633</v>
      </c>
      <c r="B1" s="63" t="s">
        <v>634</v>
      </c>
      <c r="C1" s="63" t="s">
        <v>635</v>
      </c>
      <c r="D1" s="63" t="s">
        <v>636</v>
      </c>
      <c r="E1" s="63" t="s">
        <v>637</v>
      </c>
    </row>
    <row r="2" spans="1:5" ht="15.75" thickBot="1">
      <c r="A2" s="58" t="s">
        <v>595</v>
      </c>
      <c r="B2" s="96">
        <v>1</v>
      </c>
      <c r="C2" s="96">
        <v>1</v>
      </c>
      <c r="D2" s="96">
        <v>1</v>
      </c>
      <c r="E2" s="96">
        <v>1</v>
      </c>
    </row>
    <row r="3" spans="1:5" ht="15.75" thickBot="1">
      <c r="A3" s="79" t="s">
        <v>597</v>
      </c>
      <c r="B3" s="96">
        <v>1</v>
      </c>
      <c r="C3" s="96">
        <v>1</v>
      </c>
      <c r="D3" s="96">
        <v>1</v>
      </c>
      <c r="E3" s="96">
        <v>1</v>
      </c>
    </row>
    <row r="4" spans="1:5" ht="15.75" thickBot="1">
      <c r="A4" s="58" t="s">
        <v>599</v>
      </c>
      <c r="B4" s="96">
        <v>0</v>
      </c>
      <c r="C4" s="96">
        <v>1</v>
      </c>
      <c r="D4" s="96">
        <v>0</v>
      </c>
      <c r="E4" s="96">
        <v>1</v>
      </c>
    </row>
    <row r="5" spans="1:5" ht="15.75" thickBot="1">
      <c r="A5" s="58" t="s">
        <v>600</v>
      </c>
      <c r="B5" s="96">
        <v>1</v>
      </c>
      <c r="C5" s="108">
        <v>1</v>
      </c>
      <c r="D5" s="96">
        <v>1</v>
      </c>
      <c r="E5" s="96">
        <v>1</v>
      </c>
    </row>
    <row r="6" spans="1:5" ht="15.75" thickBot="1">
      <c r="A6" s="58" t="s">
        <v>601</v>
      </c>
      <c r="B6" s="96">
        <v>0.15</v>
      </c>
      <c r="C6" s="96">
        <v>0.15</v>
      </c>
      <c r="D6" s="96">
        <v>0.15</v>
      </c>
      <c r="E6" s="96">
        <v>0.15</v>
      </c>
    </row>
    <row r="7" spans="1:5" ht="15.75" thickBot="1">
      <c r="A7" s="58" t="s">
        <v>602</v>
      </c>
      <c r="B7" s="96">
        <v>0</v>
      </c>
      <c r="C7" s="96">
        <v>0</v>
      </c>
      <c r="D7" s="96">
        <v>0</v>
      </c>
      <c r="E7" s="96">
        <v>0</v>
      </c>
    </row>
    <row r="8" spans="1:5" ht="15.75" thickBot="1">
      <c r="A8" s="58" t="s">
        <v>639</v>
      </c>
      <c r="B8" s="96">
        <v>0</v>
      </c>
      <c r="C8" s="96">
        <v>0</v>
      </c>
      <c r="D8" s="96">
        <v>0</v>
      </c>
      <c r="E8" s="96">
        <v>0</v>
      </c>
    </row>
    <row r="9" spans="1:5" ht="15.75" thickBot="1">
      <c r="A9" s="58" t="s">
        <v>640</v>
      </c>
      <c r="B9" s="96">
        <v>0</v>
      </c>
      <c r="C9" s="96">
        <v>0</v>
      </c>
      <c r="D9" s="96">
        <v>0</v>
      </c>
      <c r="E9" s="96">
        <v>0</v>
      </c>
    </row>
    <row r="10" spans="1:5" ht="15.75" thickBot="1">
      <c r="A10" s="58" t="s">
        <v>607</v>
      </c>
      <c r="B10" s="96">
        <v>1</v>
      </c>
      <c r="C10" s="96">
        <v>1</v>
      </c>
      <c r="D10" s="96">
        <v>1</v>
      </c>
      <c r="E10" s="96">
        <v>1</v>
      </c>
    </row>
    <row r="11" spans="1:5" ht="15.75" thickBot="1">
      <c r="A11" s="58" t="s">
        <v>609</v>
      </c>
      <c r="B11" s="96">
        <v>0.5</v>
      </c>
      <c r="C11" s="96">
        <v>1</v>
      </c>
      <c r="D11" s="96">
        <v>0.5</v>
      </c>
      <c r="E11" s="96">
        <v>1</v>
      </c>
    </row>
    <row r="12" spans="1:5" ht="15.75" thickBot="1">
      <c r="A12" s="58" t="s">
        <v>611</v>
      </c>
      <c r="B12" s="96">
        <v>0</v>
      </c>
      <c r="C12" s="96">
        <v>0.1</v>
      </c>
      <c r="D12" s="96">
        <v>0</v>
      </c>
      <c r="E12" s="96">
        <v>1</v>
      </c>
    </row>
    <row r="13" spans="1:5" ht="15.75" thickBot="1">
      <c r="A13" s="58" t="s">
        <v>612</v>
      </c>
      <c r="B13" s="96">
        <v>0</v>
      </c>
      <c r="C13" s="96">
        <v>0</v>
      </c>
      <c r="D13" s="96">
        <v>0</v>
      </c>
      <c r="E13" s="96">
        <v>0</v>
      </c>
    </row>
    <row r="14" spans="1:5" ht="15.75" thickBot="1">
      <c r="A14" s="58" t="s">
        <v>613</v>
      </c>
      <c r="B14" s="96">
        <v>0</v>
      </c>
      <c r="C14" s="96">
        <v>0</v>
      </c>
      <c r="D14" s="96">
        <v>0</v>
      </c>
      <c r="E14" s="96">
        <v>0</v>
      </c>
    </row>
    <row r="15" spans="1:5" ht="15.75" thickBot="1">
      <c r="A15" s="58" t="s">
        <v>614</v>
      </c>
      <c r="B15" s="96">
        <v>0</v>
      </c>
      <c r="C15" s="96">
        <v>0</v>
      </c>
      <c r="D15" s="96">
        <v>0</v>
      </c>
      <c r="E15" s="96">
        <v>0</v>
      </c>
    </row>
    <row r="16" spans="1:5" ht="15.75" thickBot="1">
      <c r="A16" s="58" t="s">
        <v>615</v>
      </c>
      <c r="B16" s="96">
        <v>0</v>
      </c>
      <c r="C16" s="96">
        <v>0</v>
      </c>
      <c r="D16" s="96">
        <v>0</v>
      </c>
      <c r="E16" s="96">
        <v>0</v>
      </c>
    </row>
    <row r="17" spans="1:6" ht="15.75" thickBot="1">
      <c r="A17" s="58" t="s">
        <v>616</v>
      </c>
      <c r="B17" s="96">
        <v>0</v>
      </c>
      <c r="C17" s="96">
        <v>0</v>
      </c>
      <c r="D17" s="96">
        <v>0</v>
      </c>
      <c r="E17" s="96">
        <v>0</v>
      </c>
    </row>
    <row r="18" spans="1:6" ht="15.75" thickBot="1">
      <c r="A18" s="58" t="s">
        <v>641</v>
      </c>
      <c r="B18" s="96">
        <v>0.05</v>
      </c>
      <c r="C18" s="96">
        <v>0.05</v>
      </c>
      <c r="D18" s="96">
        <v>0.13</v>
      </c>
      <c r="E18" s="96">
        <v>0.13</v>
      </c>
    </row>
    <row r="19" spans="1:6" ht="15.75" thickBot="1">
      <c r="A19" s="58" t="s">
        <v>642</v>
      </c>
      <c r="B19" s="96">
        <v>1</v>
      </c>
      <c r="C19" s="96">
        <v>1</v>
      </c>
      <c r="D19" s="96">
        <v>1</v>
      </c>
      <c r="E19" s="96">
        <v>1</v>
      </c>
    </row>
    <row r="20" spans="1:6" ht="15.75" thickBot="1">
      <c r="A20" s="58" t="s">
        <v>643</v>
      </c>
      <c r="B20" s="96">
        <v>0</v>
      </c>
      <c r="C20" s="96">
        <v>0</v>
      </c>
      <c r="D20" s="96">
        <v>0</v>
      </c>
      <c r="E20" s="96">
        <v>0</v>
      </c>
      <c r="F20" s="16" t="s">
        <v>644</v>
      </c>
    </row>
    <row r="21" spans="1:6" ht="15.75" thickBot="1">
      <c r="A21" s="58" t="s">
        <v>618</v>
      </c>
      <c r="B21" s="96">
        <v>0.35</v>
      </c>
      <c r="C21" s="96">
        <v>0.3</v>
      </c>
      <c r="D21" s="96">
        <v>0.4</v>
      </c>
      <c r="E21" s="96">
        <v>0.6</v>
      </c>
      <c r="F21" s="16">
        <v>80</v>
      </c>
    </row>
    <row r="22" spans="1:6" ht="15.75" thickBot="1">
      <c r="A22" s="58" t="s">
        <v>619</v>
      </c>
      <c r="B22" s="96">
        <v>0.8</v>
      </c>
      <c r="C22" s="96">
        <v>0.8</v>
      </c>
      <c r="D22" s="96">
        <v>0.8</v>
      </c>
      <c r="E22" s="96">
        <v>0.85</v>
      </c>
      <c r="F22" s="16">
        <v>100</v>
      </c>
    </row>
    <row r="23" spans="1:6" ht="15.75" thickBot="1">
      <c r="A23" s="58" t="s">
        <v>621</v>
      </c>
      <c r="B23" s="96">
        <v>0</v>
      </c>
      <c r="C23" s="96">
        <v>0</v>
      </c>
      <c r="D23" s="96">
        <v>0</v>
      </c>
      <c r="E23" s="96">
        <v>0.3</v>
      </c>
      <c r="F23" s="16">
        <v>70</v>
      </c>
    </row>
    <row r="24" spans="1:6" ht="15.75" thickBot="1">
      <c r="A24" s="58" t="s">
        <v>623</v>
      </c>
      <c r="B24" s="96">
        <v>0</v>
      </c>
      <c r="C24" s="96">
        <v>0</v>
      </c>
      <c r="D24" s="96">
        <v>0</v>
      </c>
      <c r="E24" s="96">
        <v>0</v>
      </c>
    </row>
  </sheetData>
  <conditionalFormatting sqref="B2:E24">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2389-C0B6-42E1-89CB-9740DF48D216}">
  <sheetPr codeName="Sheet18"/>
  <dimension ref="A1:I24"/>
  <sheetViews>
    <sheetView zoomScale="115" zoomScaleNormal="115" workbookViewId="0">
      <selection sqref="A1:E24"/>
    </sheetView>
  </sheetViews>
  <sheetFormatPr defaultColWidth="8.85546875" defaultRowHeight="15"/>
  <cols>
    <col min="1" max="1" width="92.85546875" bestFit="1" customWidth="1"/>
    <col min="2" max="2" width="13.42578125" bestFit="1" customWidth="1"/>
    <col min="3" max="3" width="11.7109375" bestFit="1" customWidth="1"/>
    <col min="4" max="4" width="13.42578125" bestFit="1" customWidth="1"/>
    <col min="5" max="5" width="12.42578125" bestFit="1" customWidth="1"/>
    <col min="8" max="8" width="12.42578125" style="16" bestFit="1" customWidth="1"/>
    <col min="9" max="9" width="10.42578125" style="16" bestFit="1" customWidth="1"/>
  </cols>
  <sheetData>
    <row r="1" spans="1:9" ht="15.75" thickBot="1">
      <c r="A1" s="63" t="s">
        <v>633</v>
      </c>
      <c r="B1" s="63" t="s">
        <v>645</v>
      </c>
      <c r="C1" s="63" t="s">
        <v>646</v>
      </c>
      <c r="D1" s="63" t="s">
        <v>634</v>
      </c>
      <c r="E1" s="63" t="s">
        <v>646</v>
      </c>
      <c r="H1" s="16" t="s">
        <v>634</v>
      </c>
      <c r="I1" s="16" t="s">
        <v>647</v>
      </c>
    </row>
    <row r="2" spans="1:9" ht="15.75" thickBot="1">
      <c r="A2" s="58" t="s">
        <v>595</v>
      </c>
      <c r="B2" s="96">
        <v>1</v>
      </c>
      <c r="C2" s="96">
        <v>1</v>
      </c>
      <c r="D2" s="96">
        <v>1</v>
      </c>
      <c r="E2" s="96">
        <v>1</v>
      </c>
    </row>
    <row r="3" spans="1:9" ht="15.75" thickBot="1">
      <c r="A3" s="79" t="s">
        <v>597</v>
      </c>
      <c r="B3" s="96">
        <v>1</v>
      </c>
      <c r="C3" s="96">
        <v>1</v>
      </c>
      <c r="D3" s="96">
        <v>1</v>
      </c>
      <c r="E3" s="96">
        <v>1</v>
      </c>
    </row>
    <row r="4" spans="1:9" ht="15.75" thickBot="1">
      <c r="A4" s="58" t="s">
        <v>599</v>
      </c>
      <c r="B4" s="96">
        <v>0</v>
      </c>
      <c r="C4" s="96">
        <v>0</v>
      </c>
      <c r="D4" s="96">
        <v>0</v>
      </c>
      <c r="E4" s="96">
        <v>1</v>
      </c>
    </row>
    <row r="5" spans="1:9" ht="15.75" thickBot="1">
      <c r="A5" s="58" t="s">
        <v>600</v>
      </c>
      <c r="B5" s="96">
        <v>1</v>
      </c>
      <c r="C5" s="108">
        <v>1</v>
      </c>
      <c r="D5" s="96">
        <v>1</v>
      </c>
      <c r="E5" s="96">
        <v>1</v>
      </c>
    </row>
    <row r="6" spans="1:9" ht="15.75" thickBot="1">
      <c r="A6" s="58" t="s">
        <v>601</v>
      </c>
      <c r="B6" s="96">
        <v>0.1</v>
      </c>
      <c r="C6" s="96">
        <v>0.15</v>
      </c>
      <c r="D6" s="96">
        <v>0.15</v>
      </c>
      <c r="E6" s="96">
        <v>0.15</v>
      </c>
    </row>
    <row r="7" spans="1:9" ht="15.75" thickBot="1">
      <c r="A7" s="58" t="s">
        <v>602</v>
      </c>
      <c r="B7" s="96">
        <v>0</v>
      </c>
      <c r="C7" s="96">
        <v>0</v>
      </c>
      <c r="D7" s="96">
        <v>0</v>
      </c>
      <c r="E7" s="96">
        <v>0</v>
      </c>
    </row>
    <row r="8" spans="1:9" ht="15.75" thickBot="1">
      <c r="A8" s="58" t="s">
        <v>639</v>
      </c>
      <c r="B8" s="96">
        <v>0</v>
      </c>
      <c r="C8" s="96">
        <v>0</v>
      </c>
      <c r="D8" s="96">
        <v>0</v>
      </c>
      <c r="E8" s="96">
        <v>0</v>
      </c>
    </row>
    <row r="9" spans="1:9" ht="15.75" thickBot="1">
      <c r="A9" s="58" t="s">
        <v>640</v>
      </c>
      <c r="B9" s="96">
        <v>0</v>
      </c>
      <c r="C9" s="96">
        <v>0</v>
      </c>
      <c r="D9" s="96">
        <v>0</v>
      </c>
      <c r="E9" s="96">
        <v>0</v>
      </c>
    </row>
    <row r="10" spans="1:9" ht="15.75" thickBot="1">
      <c r="A10" s="58" t="s">
        <v>607</v>
      </c>
      <c r="B10" s="96">
        <v>0.95</v>
      </c>
      <c r="C10" s="96">
        <v>1</v>
      </c>
      <c r="D10" s="96">
        <v>1</v>
      </c>
      <c r="E10" s="96">
        <v>1</v>
      </c>
    </row>
    <row r="11" spans="1:9" ht="15.75" thickBot="1">
      <c r="A11" s="58" t="s">
        <v>609</v>
      </c>
      <c r="B11" s="96">
        <v>0</v>
      </c>
      <c r="C11" s="96">
        <v>1</v>
      </c>
      <c r="D11" s="96">
        <v>0.5</v>
      </c>
      <c r="E11" s="96">
        <v>1</v>
      </c>
    </row>
    <row r="12" spans="1:9" ht="15.75" thickBot="1">
      <c r="A12" s="58" t="s">
        <v>611</v>
      </c>
      <c r="B12" s="96">
        <v>0</v>
      </c>
      <c r="C12" s="96">
        <v>0.05</v>
      </c>
      <c r="D12" s="96">
        <v>0</v>
      </c>
      <c r="E12" s="96">
        <v>0.1</v>
      </c>
    </row>
    <row r="13" spans="1:9" ht="15.75" thickBot="1">
      <c r="A13" s="58" t="s">
        <v>612</v>
      </c>
      <c r="B13" s="96">
        <v>0</v>
      </c>
      <c r="C13" s="96">
        <v>0</v>
      </c>
      <c r="D13" s="96">
        <v>0</v>
      </c>
      <c r="E13" s="96">
        <v>0</v>
      </c>
    </row>
    <row r="14" spans="1:9" ht="15.75" thickBot="1">
      <c r="A14" s="58" t="s">
        <v>613</v>
      </c>
      <c r="B14" s="96">
        <v>0</v>
      </c>
      <c r="C14" s="96">
        <v>0</v>
      </c>
      <c r="D14" s="96">
        <v>0</v>
      </c>
      <c r="E14" s="96">
        <v>0</v>
      </c>
    </row>
    <row r="15" spans="1:9" ht="15.75" thickBot="1">
      <c r="A15" s="58" t="s">
        <v>614</v>
      </c>
      <c r="B15" s="96">
        <v>0</v>
      </c>
      <c r="C15" s="96">
        <v>0</v>
      </c>
      <c r="D15" s="96">
        <v>0</v>
      </c>
      <c r="E15" s="96">
        <v>0</v>
      </c>
    </row>
    <row r="16" spans="1:9" ht="15.75" thickBot="1">
      <c r="A16" s="58" t="s">
        <v>615</v>
      </c>
      <c r="B16" s="96">
        <v>0</v>
      </c>
      <c r="C16" s="96">
        <v>0</v>
      </c>
      <c r="D16" s="96">
        <v>0</v>
      </c>
      <c r="E16" s="96">
        <v>0</v>
      </c>
    </row>
    <row r="17" spans="1:5" ht="15.75" thickBot="1">
      <c r="A17" s="58" t="s">
        <v>616</v>
      </c>
      <c r="B17" s="96">
        <v>0</v>
      </c>
      <c r="C17" s="96">
        <v>0</v>
      </c>
      <c r="D17" s="96">
        <v>0</v>
      </c>
      <c r="E17" s="96">
        <v>0</v>
      </c>
    </row>
    <row r="18" spans="1:5" ht="15.75" thickBot="1">
      <c r="A18" s="58" t="s">
        <v>641</v>
      </c>
      <c r="B18" s="96">
        <v>0.05</v>
      </c>
      <c r="C18" s="96">
        <v>0.05</v>
      </c>
      <c r="D18" s="96">
        <v>0.05</v>
      </c>
      <c r="E18" s="96">
        <v>0.05</v>
      </c>
    </row>
    <row r="19" spans="1:5" ht="15.75" thickBot="1">
      <c r="A19" s="58" t="s">
        <v>642</v>
      </c>
      <c r="B19" s="96">
        <v>0.4</v>
      </c>
      <c r="C19" s="96">
        <v>1</v>
      </c>
      <c r="D19" s="96">
        <v>1</v>
      </c>
      <c r="E19" s="96">
        <v>1</v>
      </c>
    </row>
    <row r="20" spans="1:5" ht="15.75" thickBot="1">
      <c r="A20" s="58" t="s">
        <v>643</v>
      </c>
      <c r="B20" s="96">
        <v>0</v>
      </c>
      <c r="C20" s="96">
        <v>0</v>
      </c>
      <c r="D20" s="96">
        <v>0</v>
      </c>
      <c r="E20" s="96">
        <v>0</v>
      </c>
    </row>
    <row r="21" spans="1:5" ht="15.75" thickBot="1">
      <c r="A21" s="58" t="s">
        <v>618</v>
      </c>
      <c r="B21" s="96">
        <v>0.35</v>
      </c>
      <c r="C21" s="96">
        <v>0.3</v>
      </c>
      <c r="D21" s="96">
        <v>0.35</v>
      </c>
      <c r="E21" s="96">
        <v>0.3</v>
      </c>
    </row>
    <row r="22" spans="1:5" ht="15.75" thickBot="1">
      <c r="A22" s="58" t="s">
        <v>619</v>
      </c>
      <c r="B22" s="96">
        <v>0.8</v>
      </c>
      <c r="C22" s="96">
        <v>0.8</v>
      </c>
      <c r="D22" s="96">
        <v>0.8</v>
      </c>
      <c r="E22" s="96">
        <v>0.8</v>
      </c>
    </row>
    <row r="23" spans="1:5" ht="15.75" thickBot="1">
      <c r="A23" s="58" t="s">
        <v>621</v>
      </c>
      <c r="B23" s="96">
        <v>0</v>
      </c>
      <c r="C23" s="96">
        <v>0</v>
      </c>
      <c r="D23" s="96">
        <v>0</v>
      </c>
      <c r="E23" s="96">
        <v>0</v>
      </c>
    </row>
    <row r="24" spans="1:5" ht="15.75" thickBot="1">
      <c r="A24" s="58" t="s">
        <v>623</v>
      </c>
      <c r="B24" s="96">
        <v>0</v>
      </c>
      <c r="C24" s="96">
        <v>0</v>
      </c>
      <c r="D24" s="96">
        <v>0</v>
      </c>
      <c r="E24" s="96">
        <v>0</v>
      </c>
    </row>
  </sheetData>
  <conditionalFormatting sqref="B2:E24">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8D4C-2181-42EB-81F7-AD05795CB709}">
  <sheetPr codeName="Sheet7"/>
  <dimension ref="A1:I24"/>
  <sheetViews>
    <sheetView zoomScale="115" zoomScaleNormal="115" workbookViewId="0">
      <selection activeCell="A13" sqref="A13"/>
    </sheetView>
  </sheetViews>
  <sheetFormatPr defaultColWidth="8.85546875" defaultRowHeight="15"/>
  <cols>
    <col min="1" max="1" width="92.85546875" bestFit="1" customWidth="1"/>
    <col min="2" max="2" width="13.42578125" bestFit="1" customWidth="1"/>
    <col min="3" max="3" width="11.7109375" bestFit="1" customWidth="1"/>
    <col min="4" max="4" width="13.42578125" bestFit="1" customWidth="1"/>
    <col min="5" max="5" width="12.42578125" bestFit="1" customWidth="1"/>
    <col min="8" max="8" width="12.42578125" style="16" bestFit="1" customWidth="1"/>
    <col min="9" max="9" width="10.42578125" style="16" bestFit="1" customWidth="1"/>
  </cols>
  <sheetData>
    <row r="1" spans="1:9" ht="15.75" thickBot="1">
      <c r="A1" s="63" t="s">
        <v>633</v>
      </c>
      <c r="B1" s="63" t="s">
        <v>648</v>
      </c>
      <c r="C1" s="63" t="s">
        <v>649</v>
      </c>
      <c r="D1" s="63" t="s">
        <v>645</v>
      </c>
      <c r="E1" s="63" t="s">
        <v>646</v>
      </c>
      <c r="H1" s="16" t="s">
        <v>634</v>
      </c>
      <c r="I1" s="16" t="s">
        <v>647</v>
      </c>
    </row>
    <row r="2" spans="1:9" ht="15.75" thickBot="1">
      <c r="A2" s="58" t="s">
        <v>595</v>
      </c>
      <c r="B2" s="96">
        <v>1</v>
      </c>
      <c r="C2" s="96">
        <v>1</v>
      </c>
      <c r="D2" s="96">
        <v>1</v>
      </c>
      <c r="E2" s="96">
        <v>1</v>
      </c>
    </row>
    <row r="3" spans="1:9" ht="15.75" thickBot="1">
      <c r="A3" s="79" t="s">
        <v>597</v>
      </c>
      <c r="B3" s="96">
        <v>1</v>
      </c>
      <c r="C3" s="96">
        <v>1</v>
      </c>
      <c r="D3" s="96">
        <v>1</v>
      </c>
      <c r="E3" s="96">
        <v>1</v>
      </c>
    </row>
    <row r="4" spans="1:9" ht="15.75" thickBot="1">
      <c r="A4" s="58" t="s">
        <v>599</v>
      </c>
      <c r="B4" s="96">
        <v>0</v>
      </c>
      <c r="C4" s="96">
        <v>0</v>
      </c>
      <c r="D4" s="96">
        <v>0</v>
      </c>
      <c r="E4" s="96">
        <v>0</v>
      </c>
    </row>
    <row r="5" spans="1:9" ht="15.75" thickBot="1">
      <c r="A5" s="58" t="s">
        <v>600</v>
      </c>
      <c r="B5" s="96">
        <v>1</v>
      </c>
      <c r="C5" s="108">
        <v>1</v>
      </c>
      <c r="D5" s="96">
        <v>1</v>
      </c>
      <c r="E5" s="96">
        <v>1</v>
      </c>
    </row>
    <row r="6" spans="1:9" ht="15.75" thickBot="1">
      <c r="A6" s="58" t="s">
        <v>601</v>
      </c>
      <c r="B6" s="96">
        <v>0.1</v>
      </c>
      <c r="C6" s="96">
        <v>0.15</v>
      </c>
      <c r="D6" s="96">
        <v>0.1</v>
      </c>
      <c r="E6" s="96">
        <v>0.15</v>
      </c>
    </row>
    <row r="7" spans="1:9" ht="15.75" thickBot="1">
      <c r="A7" s="58" t="s">
        <v>602</v>
      </c>
      <c r="B7" s="96">
        <v>0</v>
      </c>
      <c r="C7" s="96">
        <v>0</v>
      </c>
      <c r="D7" s="96">
        <v>0</v>
      </c>
      <c r="E7" s="96">
        <v>0</v>
      </c>
    </row>
    <row r="8" spans="1:9" ht="15.75" thickBot="1">
      <c r="A8" s="58" t="s">
        <v>639</v>
      </c>
      <c r="B8" s="96">
        <v>0</v>
      </c>
      <c r="C8" s="96">
        <v>0</v>
      </c>
      <c r="D8" s="96">
        <v>0</v>
      </c>
      <c r="E8" s="96">
        <v>0</v>
      </c>
    </row>
    <row r="9" spans="1:9" ht="15.75" thickBot="1">
      <c r="A9" s="58" t="s">
        <v>640</v>
      </c>
      <c r="B9" s="96">
        <v>0</v>
      </c>
      <c r="C9" s="96">
        <v>0</v>
      </c>
      <c r="D9" s="96">
        <v>0</v>
      </c>
      <c r="E9" s="96">
        <v>0</v>
      </c>
    </row>
    <row r="10" spans="1:9" ht="15.75" thickBot="1">
      <c r="A10" s="58" t="s">
        <v>607</v>
      </c>
      <c r="B10" s="96">
        <v>0.7</v>
      </c>
      <c r="C10" s="96">
        <v>1</v>
      </c>
      <c r="D10" s="96">
        <v>0.95</v>
      </c>
      <c r="E10" s="96">
        <v>1</v>
      </c>
    </row>
    <row r="11" spans="1:9" ht="15.75" thickBot="1">
      <c r="A11" s="58" t="s">
        <v>609</v>
      </c>
      <c r="B11" s="96">
        <v>0</v>
      </c>
      <c r="C11" s="96">
        <v>1</v>
      </c>
      <c r="D11" s="96">
        <v>0</v>
      </c>
      <c r="E11" s="96">
        <v>1</v>
      </c>
    </row>
    <row r="12" spans="1:9" ht="15.75" thickBot="1">
      <c r="A12" s="58" t="s">
        <v>611</v>
      </c>
      <c r="B12" s="96">
        <v>0</v>
      </c>
      <c r="C12" s="96">
        <v>0</v>
      </c>
      <c r="D12" s="96">
        <v>0</v>
      </c>
      <c r="E12" s="96">
        <v>0.05</v>
      </c>
    </row>
    <row r="13" spans="1:9" ht="15.75" thickBot="1">
      <c r="A13" s="58" t="s">
        <v>612</v>
      </c>
      <c r="B13" s="96">
        <v>0</v>
      </c>
      <c r="C13" s="96">
        <v>0</v>
      </c>
      <c r="D13" s="96">
        <v>0</v>
      </c>
      <c r="E13" s="96">
        <v>0</v>
      </c>
    </row>
    <row r="14" spans="1:9" ht="15.75" thickBot="1">
      <c r="A14" s="58" t="s">
        <v>613</v>
      </c>
      <c r="B14" s="96">
        <v>0</v>
      </c>
      <c r="C14" s="96">
        <v>0</v>
      </c>
      <c r="D14" s="96">
        <v>0</v>
      </c>
      <c r="E14" s="96">
        <v>0</v>
      </c>
    </row>
    <row r="15" spans="1:9" ht="15.75" thickBot="1">
      <c r="A15" s="58" t="s">
        <v>614</v>
      </c>
      <c r="B15" s="96">
        <v>0</v>
      </c>
      <c r="C15" s="96">
        <v>0</v>
      </c>
      <c r="D15" s="96">
        <v>0</v>
      </c>
      <c r="E15" s="96">
        <v>0</v>
      </c>
    </row>
    <row r="16" spans="1:9" ht="15.75" thickBot="1">
      <c r="A16" s="58" t="s">
        <v>615</v>
      </c>
      <c r="B16" s="96">
        <v>0</v>
      </c>
      <c r="C16" s="96">
        <v>0</v>
      </c>
      <c r="D16" s="96">
        <v>0</v>
      </c>
      <c r="E16" s="96">
        <v>0</v>
      </c>
    </row>
    <row r="17" spans="1:5" ht="15.75" thickBot="1">
      <c r="A17" s="58" t="s">
        <v>616</v>
      </c>
      <c r="B17" s="96">
        <v>0</v>
      </c>
      <c r="C17" s="96">
        <v>0</v>
      </c>
      <c r="D17" s="96">
        <v>0</v>
      </c>
      <c r="E17" s="96">
        <v>0</v>
      </c>
    </row>
    <row r="18" spans="1:5" ht="15.75" thickBot="1">
      <c r="A18" s="58" t="s">
        <v>641</v>
      </c>
      <c r="B18" s="96">
        <v>0.05</v>
      </c>
      <c r="C18" s="96">
        <v>0.1</v>
      </c>
      <c r="D18" s="96">
        <v>0.05</v>
      </c>
      <c r="E18" s="96">
        <v>0.05</v>
      </c>
    </row>
    <row r="19" spans="1:5" ht="15.75" thickBot="1">
      <c r="A19" s="58" t="s">
        <v>642</v>
      </c>
      <c r="B19" s="96">
        <v>0</v>
      </c>
      <c r="C19" s="96">
        <v>0</v>
      </c>
      <c r="D19" s="96">
        <v>0.4</v>
      </c>
      <c r="E19" s="96">
        <v>1</v>
      </c>
    </row>
    <row r="20" spans="1:5" ht="15.75" thickBot="1">
      <c r="A20" s="58" t="s">
        <v>643</v>
      </c>
      <c r="B20" s="96">
        <v>0</v>
      </c>
      <c r="C20" s="96">
        <v>0</v>
      </c>
      <c r="D20" s="96">
        <v>0</v>
      </c>
      <c r="E20" s="96">
        <v>0</v>
      </c>
    </row>
    <row r="21" spans="1:5" ht="15.75" thickBot="1">
      <c r="A21" s="58" t="s">
        <v>618</v>
      </c>
      <c r="B21" s="96">
        <v>0.3</v>
      </c>
      <c r="C21" s="96">
        <v>0.5</v>
      </c>
      <c r="D21" s="96">
        <v>0.35</v>
      </c>
      <c r="E21" s="96">
        <v>0.3</v>
      </c>
    </row>
    <row r="22" spans="1:5" ht="15.75" thickBot="1">
      <c r="A22" s="58" t="s">
        <v>619</v>
      </c>
      <c r="B22" s="96">
        <v>0.8</v>
      </c>
      <c r="C22" s="96">
        <v>0.9</v>
      </c>
      <c r="D22" s="96">
        <v>0.8</v>
      </c>
      <c r="E22" s="96">
        <v>0.8</v>
      </c>
    </row>
    <row r="23" spans="1:5" ht="15.75" thickBot="1">
      <c r="A23" s="58" t="s">
        <v>621</v>
      </c>
      <c r="B23" s="96">
        <v>0</v>
      </c>
      <c r="C23" s="96">
        <v>0</v>
      </c>
      <c r="D23" s="96">
        <v>0</v>
      </c>
      <c r="E23" s="96">
        <v>0</v>
      </c>
    </row>
    <row r="24" spans="1:5" ht="15.75" thickBot="1">
      <c r="A24" s="58" t="s">
        <v>623</v>
      </c>
      <c r="B24" s="96">
        <v>0</v>
      </c>
      <c r="C24" s="96">
        <v>0</v>
      </c>
      <c r="D24" s="96">
        <v>0</v>
      </c>
      <c r="E24" s="96">
        <v>0</v>
      </c>
    </row>
  </sheetData>
  <conditionalFormatting sqref="B2:E24">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B2A1-C00A-4C81-9A81-67C9DEE3D456}">
  <sheetPr codeName="Sheet8"/>
  <dimension ref="A1:E24"/>
  <sheetViews>
    <sheetView workbookViewId="0">
      <selection activeCell="A19" sqref="A19"/>
    </sheetView>
  </sheetViews>
  <sheetFormatPr defaultColWidth="8.85546875" defaultRowHeight="15"/>
  <cols>
    <col min="1" max="1" width="92.85546875" bestFit="1" customWidth="1"/>
    <col min="2" max="2" width="13.42578125" bestFit="1" customWidth="1"/>
    <col min="3" max="3" width="11.7109375" bestFit="1" customWidth="1"/>
    <col min="4" max="4" width="13.42578125" bestFit="1" customWidth="1"/>
    <col min="5" max="5" width="12.42578125" bestFit="1" customWidth="1"/>
  </cols>
  <sheetData>
    <row r="1" spans="1:5" ht="15.75" thickBot="1">
      <c r="A1" s="63" t="s">
        <v>633</v>
      </c>
      <c r="B1" s="63" t="s">
        <v>650</v>
      </c>
      <c r="C1" s="63" t="s">
        <v>651</v>
      </c>
      <c r="D1" s="63" t="s">
        <v>652</v>
      </c>
      <c r="E1" s="63" t="s">
        <v>653</v>
      </c>
    </row>
    <row r="2" spans="1:5" ht="15.75" thickBot="1">
      <c r="A2" s="58" t="s">
        <v>595</v>
      </c>
      <c r="B2" s="96">
        <v>1</v>
      </c>
      <c r="C2" s="96">
        <v>1</v>
      </c>
      <c r="D2" s="96">
        <v>1</v>
      </c>
      <c r="E2" s="96">
        <v>1</v>
      </c>
    </row>
    <row r="3" spans="1:5" ht="15.75" thickBot="1">
      <c r="A3" s="79" t="s">
        <v>597</v>
      </c>
      <c r="B3" s="96">
        <v>1</v>
      </c>
      <c r="C3" s="96">
        <v>1</v>
      </c>
      <c r="D3" s="96">
        <v>1</v>
      </c>
      <c r="E3" s="97">
        <v>1</v>
      </c>
    </row>
    <row r="4" spans="1:5" ht="15.75" thickBot="1">
      <c r="A4" s="58" t="s">
        <v>599</v>
      </c>
      <c r="B4" s="96">
        <v>0</v>
      </c>
      <c r="C4" s="96">
        <v>1</v>
      </c>
      <c r="D4" s="96">
        <v>0</v>
      </c>
      <c r="E4" s="96">
        <v>0</v>
      </c>
    </row>
    <row r="5" spans="1:5" ht="15.75" thickBot="1">
      <c r="A5" s="58" t="s">
        <v>600</v>
      </c>
      <c r="B5" s="96">
        <v>1</v>
      </c>
      <c r="C5" s="108">
        <v>1</v>
      </c>
      <c r="D5" s="96">
        <v>1</v>
      </c>
      <c r="E5" s="96">
        <v>1</v>
      </c>
    </row>
    <row r="6" spans="1:5" ht="15.75" thickBot="1">
      <c r="A6" s="58" t="s">
        <v>601</v>
      </c>
      <c r="B6" s="96">
        <v>0.1</v>
      </c>
      <c r="C6" s="96">
        <v>0.15</v>
      </c>
      <c r="D6" s="96">
        <v>0.1</v>
      </c>
      <c r="E6" s="96">
        <v>0.15</v>
      </c>
    </row>
    <row r="7" spans="1:5" ht="15.75" thickBot="1">
      <c r="A7" s="58" t="s">
        <v>602</v>
      </c>
      <c r="B7" s="96">
        <v>0</v>
      </c>
      <c r="C7" s="96">
        <v>0</v>
      </c>
      <c r="D7" s="96">
        <v>0</v>
      </c>
      <c r="E7" s="96">
        <v>0</v>
      </c>
    </row>
    <row r="8" spans="1:5" ht="15.75" thickBot="1">
      <c r="A8" s="58" t="s">
        <v>639</v>
      </c>
      <c r="B8" s="96">
        <v>0</v>
      </c>
      <c r="C8" s="96">
        <v>0</v>
      </c>
      <c r="D8" s="96">
        <v>0</v>
      </c>
      <c r="E8" s="96">
        <v>0</v>
      </c>
    </row>
    <row r="9" spans="1:5" ht="15.75" thickBot="1">
      <c r="A9" s="58" t="s">
        <v>640</v>
      </c>
      <c r="B9" s="96">
        <v>0</v>
      </c>
      <c r="C9" s="96">
        <v>0</v>
      </c>
      <c r="D9" s="96">
        <v>0</v>
      </c>
      <c r="E9" s="96">
        <v>0</v>
      </c>
    </row>
    <row r="10" spans="1:5" ht="15.75" thickBot="1">
      <c r="A10" s="58" t="s">
        <v>607</v>
      </c>
      <c r="B10" s="96">
        <v>0.35</v>
      </c>
      <c r="C10" s="96">
        <v>0.75</v>
      </c>
      <c r="D10" s="96">
        <v>0.5</v>
      </c>
      <c r="E10" s="96">
        <v>0.75</v>
      </c>
    </row>
    <row r="11" spans="1:5" ht="15.75" thickBot="1">
      <c r="A11" s="58" t="s">
        <v>609</v>
      </c>
      <c r="B11" s="96">
        <v>0</v>
      </c>
      <c r="C11" s="96">
        <v>0.5</v>
      </c>
      <c r="D11" s="96">
        <v>0</v>
      </c>
      <c r="E11" s="96">
        <v>0.5</v>
      </c>
    </row>
    <row r="12" spans="1:5" ht="15.75" thickBot="1">
      <c r="A12" s="58" t="s">
        <v>611</v>
      </c>
      <c r="B12" s="96">
        <v>0</v>
      </c>
      <c r="C12" s="96">
        <v>0</v>
      </c>
      <c r="D12" s="96">
        <v>0</v>
      </c>
      <c r="E12" s="96">
        <v>0</v>
      </c>
    </row>
    <row r="13" spans="1:5" ht="15.75" thickBot="1">
      <c r="A13" s="58" t="s">
        <v>612</v>
      </c>
      <c r="B13" s="96">
        <v>0</v>
      </c>
      <c r="C13" s="96">
        <v>0</v>
      </c>
      <c r="D13" s="96">
        <v>0</v>
      </c>
      <c r="E13" s="96">
        <v>0</v>
      </c>
    </row>
    <row r="14" spans="1:5" ht="15.75" thickBot="1">
      <c r="A14" s="58" t="s">
        <v>613</v>
      </c>
      <c r="B14" s="96">
        <v>0</v>
      </c>
      <c r="C14" s="96">
        <v>0</v>
      </c>
      <c r="D14" s="96">
        <v>0</v>
      </c>
      <c r="E14" s="96">
        <v>0</v>
      </c>
    </row>
    <row r="15" spans="1:5" ht="15.75" thickBot="1">
      <c r="A15" s="58" t="s">
        <v>614</v>
      </c>
      <c r="B15" s="96">
        <v>0</v>
      </c>
      <c r="C15" s="96">
        <v>0</v>
      </c>
      <c r="D15" s="96">
        <v>0</v>
      </c>
      <c r="E15" s="96">
        <v>0</v>
      </c>
    </row>
    <row r="16" spans="1:5" ht="15.75" thickBot="1">
      <c r="A16" s="58" t="s">
        <v>615</v>
      </c>
      <c r="B16" s="96">
        <v>0</v>
      </c>
      <c r="C16" s="96">
        <v>0</v>
      </c>
      <c r="D16" s="96">
        <v>0</v>
      </c>
      <c r="E16" s="96">
        <v>0</v>
      </c>
    </row>
    <row r="17" spans="1:5" ht="15.75" thickBot="1">
      <c r="A17" s="58" t="s">
        <v>616</v>
      </c>
      <c r="B17" s="96">
        <v>0</v>
      </c>
      <c r="C17" s="96">
        <v>0</v>
      </c>
      <c r="D17" s="96">
        <v>0</v>
      </c>
      <c r="E17" s="96">
        <v>0</v>
      </c>
    </row>
    <row r="18" spans="1:5" ht="15.75" thickBot="1">
      <c r="A18" s="58" t="s">
        <v>641</v>
      </c>
      <c r="B18" s="96">
        <v>0</v>
      </c>
      <c r="C18" s="96">
        <v>0.1</v>
      </c>
      <c r="D18" s="96">
        <v>0.05</v>
      </c>
      <c r="E18" s="96">
        <v>0.1</v>
      </c>
    </row>
    <row r="19" spans="1:5" ht="15.75" thickBot="1">
      <c r="A19" s="58" t="s">
        <v>642</v>
      </c>
      <c r="B19" s="96">
        <v>0</v>
      </c>
      <c r="C19" s="96">
        <v>0</v>
      </c>
      <c r="D19" s="96">
        <v>0</v>
      </c>
      <c r="E19" s="96">
        <v>0</v>
      </c>
    </row>
    <row r="20" spans="1:5" ht="15.75" thickBot="1">
      <c r="A20" s="58" t="s">
        <v>643</v>
      </c>
      <c r="B20" s="96">
        <v>0</v>
      </c>
      <c r="C20" s="96">
        <v>0</v>
      </c>
      <c r="D20" s="96">
        <v>0</v>
      </c>
      <c r="E20" s="96">
        <v>0</v>
      </c>
    </row>
    <row r="21" spans="1:5" ht="15.75" thickBot="1">
      <c r="A21" s="58" t="s">
        <v>618</v>
      </c>
      <c r="B21" s="96">
        <v>0.1</v>
      </c>
      <c r="C21" s="96">
        <v>0</v>
      </c>
      <c r="D21" s="96">
        <v>0.25</v>
      </c>
      <c r="E21" s="96">
        <v>0</v>
      </c>
    </row>
    <row r="22" spans="1:5" ht="15.75" thickBot="1">
      <c r="A22" s="58" t="s">
        <v>619</v>
      </c>
      <c r="B22" s="96">
        <v>0.25</v>
      </c>
      <c r="C22" s="96">
        <v>0.3</v>
      </c>
      <c r="D22" s="96">
        <v>0.5</v>
      </c>
      <c r="E22" s="96">
        <v>0.3</v>
      </c>
    </row>
    <row r="23" spans="1:5" ht="15.75" thickBot="1">
      <c r="A23" s="58" t="s">
        <v>621</v>
      </c>
      <c r="B23" s="96">
        <v>0</v>
      </c>
      <c r="C23" s="96">
        <v>0</v>
      </c>
      <c r="D23" s="96">
        <v>0</v>
      </c>
      <c r="E23" s="96">
        <v>0</v>
      </c>
    </row>
    <row r="24" spans="1:5" ht="15.75" thickBot="1">
      <c r="A24" s="58" t="s">
        <v>623</v>
      </c>
      <c r="B24" s="96">
        <v>0</v>
      </c>
      <c r="C24" s="96">
        <v>0</v>
      </c>
      <c r="D24" s="96">
        <v>0</v>
      </c>
      <c r="E24" s="96">
        <v>0</v>
      </c>
    </row>
  </sheetData>
  <conditionalFormatting sqref="B2:E24">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ACED-9D2C-458E-B918-7FE365C5F734}">
  <sheetPr codeName="Sheet9"/>
  <dimension ref="A1:E22"/>
  <sheetViews>
    <sheetView workbookViewId="0">
      <selection activeCell="D19" sqref="D19:D22"/>
    </sheetView>
  </sheetViews>
  <sheetFormatPr defaultColWidth="8.85546875" defaultRowHeight="15"/>
  <cols>
    <col min="1" max="1" width="92.85546875" bestFit="1" customWidth="1"/>
    <col min="2" max="2" width="13.42578125" bestFit="1" customWidth="1"/>
    <col min="3" max="3" width="11.7109375" bestFit="1" customWidth="1"/>
    <col min="4" max="4" width="13.42578125" bestFit="1" customWidth="1"/>
    <col min="5" max="5" width="12.42578125" bestFit="1" customWidth="1"/>
  </cols>
  <sheetData>
    <row r="1" spans="1:5" ht="15.75" thickBot="1">
      <c r="A1" s="63" t="s">
        <v>633</v>
      </c>
      <c r="B1" s="63" t="s">
        <v>654</v>
      </c>
      <c r="C1" s="63" t="s">
        <v>655</v>
      </c>
      <c r="D1" s="63" t="s">
        <v>650</v>
      </c>
      <c r="E1" s="63" t="s">
        <v>651</v>
      </c>
    </row>
    <row r="2" spans="1:5" ht="15.75" thickBot="1">
      <c r="A2" s="58" t="s">
        <v>595</v>
      </c>
      <c r="B2" s="96">
        <v>1</v>
      </c>
      <c r="C2" s="96">
        <v>1</v>
      </c>
      <c r="D2" s="96">
        <v>1</v>
      </c>
      <c r="E2" s="96">
        <v>1</v>
      </c>
    </row>
    <row r="3" spans="1:5" ht="15.75" thickBot="1">
      <c r="A3" s="79" t="s">
        <v>597</v>
      </c>
      <c r="B3" s="96">
        <v>1</v>
      </c>
      <c r="C3" s="96">
        <v>1</v>
      </c>
      <c r="D3" s="96">
        <v>1</v>
      </c>
      <c r="E3" s="97">
        <v>1</v>
      </c>
    </row>
    <row r="4" spans="1:5" ht="15.75" thickBot="1">
      <c r="A4" s="58" t="s">
        <v>599</v>
      </c>
      <c r="B4" s="96">
        <v>0</v>
      </c>
      <c r="C4" s="96">
        <v>1</v>
      </c>
      <c r="D4" s="96">
        <v>0</v>
      </c>
      <c r="E4" s="96">
        <v>1</v>
      </c>
    </row>
    <row r="5" spans="1:5" ht="15.75" thickBot="1">
      <c r="A5" s="58" t="s">
        <v>600</v>
      </c>
      <c r="B5" s="96">
        <v>1</v>
      </c>
      <c r="C5" s="108">
        <v>1</v>
      </c>
      <c r="D5" s="96">
        <v>1</v>
      </c>
      <c r="E5" s="96">
        <v>1</v>
      </c>
    </row>
    <row r="6" spans="1:5" ht="15.75" thickBot="1">
      <c r="A6" s="58" t="s">
        <v>601</v>
      </c>
      <c r="B6" s="96">
        <v>0.05</v>
      </c>
      <c r="C6" s="96">
        <v>0.1</v>
      </c>
      <c r="D6" s="96">
        <v>0.1</v>
      </c>
      <c r="E6" s="96">
        <v>0.15</v>
      </c>
    </row>
    <row r="7" spans="1:5" ht="15.75" thickBot="1">
      <c r="A7" s="58" t="s">
        <v>602</v>
      </c>
      <c r="B7" s="96">
        <v>0</v>
      </c>
      <c r="C7" s="96">
        <v>0.02</v>
      </c>
      <c r="D7" s="96">
        <v>0</v>
      </c>
      <c r="E7" s="96">
        <v>0</v>
      </c>
    </row>
    <row r="8" spans="1:5" ht="15.75" thickBot="1">
      <c r="A8" s="58" t="s">
        <v>639</v>
      </c>
      <c r="B8" s="96">
        <v>0</v>
      </c>
      <c r="C8" s="96">
        <v>0</v>
      </c>
      <c r="D8" s="96">
        <v>0</v>
      </c>
      <c r="E8" s="96">
        <v>0</v>
      </c>
    </row>
    <row r="9" spans="1:5" ht="15.75" thickBot="1">
      <c r="A9" s="58" t="s">
        <v>640</v>
      </c>
      <c r="B9" s="96">
        <v>0</v>
      </c>
      <c r="C9" s="96">
        <v>0</v>
      </c>
      <c r="D9" s="96">
        <v>0</v>
      </c>
      <c r="E9" s="96">
        <v>0</v>
      </c>
    </row>
    <row r="10" spans="1:5" ht="15.75" thickBot="1">
      <c r="A10" s="58" t="s">
        <v>607</v>
      </c>
      <c r="B10" s="96">
        <v>0</v>
      </c>
      <c r="C10" s="96">
        <v>0.5</v>
      </c>
      <c r="D10" s="96">
        <v>0.35</v>
      </c>
      <c r="E10" s="96">
        <v>0.75</v>
      </c>
    </row>
    <row r="11" spans="1:5" ht="15.75" thickBot="1">
      <c r="A11" s="58" t="s">
        <v>609</v>
      </c>
      <c r="B11" s="96">
        <v>0</v>
      </c>
      <c r="C11" s="96">
        <v>0.5</v>
      </c>
      <c r="D11" s="96">
        <v>0</v>
      </c>
      <c r="E11" s="96">
        <v>0.5</v>
      </c>
    </row>
    <row r="12" spans="1:5" ht="15.75" thickBot="1">
      <c r="A12" s="58" t="s">
        <v>611</v>
      </c>
      <c r="B12" s="96">
        <v>0</v>
      </c>
      <c r="C12" s="96">
        <v>0</v>
      </c>
      <c r="D12" s="96">
        <v>0</v>
      </c>
      <c r="E12" s="96">
        <v>0</v>
      </c>
    </row>
    <row r="13" spans="1:5" ht="15.75" thickBot="1">
      <c r="A13" s="58" t="s">
        <v>612</v>
      </c>
      <c r="B13" s="96">
        <v>0</v>
      </c>
      <c r="C13" s="96">
        <v>0</v>
      </c>
      <c r="D13" s="96">
        <v>0</v>
      </c>
      <c r="E13" s="96">
        <v>0</v>
      </c>
    </row>
    <row r="14" spans="1:5" ht="15.75" thickBot="1">
      <c r="A14" s="58" t="s">
        <v>613</v>
      </c>
      <c r="B14" s="96">
        <v>0</v>
      </c>
      <c r="C14" s="96">
        <v>0</v>
      </c>
      <c r="D14" s="96">
        <v>0</v>
      </c>
      <c r="E14" s="96">
        <v>0</v>
      </c>
    </row>
    <row r="15" spans="1:5" ht="15.75" thickBot="1">
      <c r="A15" s="58" t="s">
        <v>614</v>
      </c>
      <c r="B15" s="96">
        <v>0</v>
      </c>
      <c r="C15" s="96">
        <v>0</v>
      </c>
      <c r="D15" s="96">
        <v>0</v>
      </c>
      <c r="E15" s="96">
        <v>0</v>
      </c>
    </row>
    <row r="16" spans="1:5" ht="15.75" thickBot="1">
      <c r="A16" s="58" t="s">
        <v>615</v>
      </c>
      <c r="B16" s="96">
        <v>0</v>
      </c>
      <c r="C16" s="96">
        <v>0</v>
      </c>
      <c r="D16" s="96">
        <v>0</v>
      </c>
      <c r="E16" s="96">
        <v>0</v>
      </c>
    </row>
    <row r="17" spans="1:5" ht="15.75" thickBot="1">
      <c r="A17" s="58" t="s">
        <v>616</v>
      </c>
      <c r="B17" s="96">
        <v>0</v>
      </c>
      <c r="C17" s="96">
        <v>0</v>
      </c>
      <c r="D17" s="96">
        <v>0</v>
      </c>
      <c r="E17" s="96">
        <v>0</v>
      </c>
    </row>
    <row r="18" spans="1:5" ht="15.75" thickBot="1">
      <c r="A18" s="58" t="s">
        <v>641</v>
      </c>
      <c r="B18" s="96">
        <v>0</v>
      </c>
      <c r="C18" s="96">
        <v>0.1</v>
      </c>
      <c r="D18" s="96">
        <v>0</v>
      </c>
      <c r="E18" s="96">
        <v>0.1</v>
      </c>
    </row>
    <row r="19" spans="1:5" ht="15.75" thickBot="1">
      <c r="A19" s="58" t="s">
        <v>618</v>
      </c>
      <c r="B19" s="96">
        <v>0</v>
      </c>
      <c r="C19" s="96">
        <v>0</v>
      </c>
      <c r="D19" s="96">
        <v>0.1</v>
      </c>
      <c r="E19" s="96">
        <v>0</v>
      </c>
    </row>
    <row r="20" spans="1:5" ht="15.75" thickBot="1">
      <c r="A20" s="58" t="s">
        <v>619</v>
      </c>
      <c r="B20" s="96">
        <v>0.1</v>
      </c>
      <c r="C20" s="96">
        <v>0.3</v>
      </c>
      <c r="D20" s="96">
        <v>0.25</v>
      </c>
      <c r="E20" s="96">
        <v>0.3</v>
      </c>
    </row>
    <row r="21" spans="1:5" ht="15.75" thickBot="1">
      <c r="A21" s="58" t="s">
        <v>621</v>
      </c>
      <c r="B21" s="96">
        <v>0</v>
      </c>
      <c r="C21" s="96">
        <v>0</v>
      </c>
      <c r="D21" s="96">
        <v>0</v>
      </c>
      <c r="E21" s="96">
        <v>0</v>
      </c>
    </row>
    <row r="22" spans="1:5" ht="15.75" thickBot="1">
      <c r="A22" s="58" t="s">
        <v>623</v>
      </c>
      <c r="B22" s="96">
        <v>0</v>
      </c>
      <c r="C22" s="96">
        <v>0</v>
      </c>
      <c r="D22" s="96">
        <v>0</v>
      </c>
      <c r="E22" s="96">
        <v>0</v>
      </c>
    </row>
  </sheetData>
  <conditionalFormatting sqref="B2:E22">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6ACE-787B-418C-A8AC-85D4E4B4950B}">
  <sheetPr codeName="Sheet10"/>
  <dimension ref="A1:E22"/>
  <sheetViews>
    <sheetView workbookViewId="0">
      <selection activeCell="E10" sqref="E10"/>
    </sheetView>
  </sheetViews>
  <sheetFormatPr defaultColWidth="8.85546875" defaultRowHeight="15"/>
  <cols>
    <col min="1" max="1" width="92.85546875" bestFit="1" customWidth="1"/>
    <col min="2" max="2" width="13.42578125" bestFit="1" customWidth="1"/>
    <col min="3" max="3" width="11.7109375" bestFit="1" customWidth="1"/>
    <col min="4" max="4" width="13.42578125" bestFit="1" customWidth="1"/>
    <col min="5" max="5" width="12.42578125" bestFit="1" customWidth="1"/>
  </cols>
  <sheetData>
    <row r="1" spans="1:5" ht="15.75" thickBot="1">
      <c r="A1" s="63" t="s">
        <v>633</v>
      </c>
      <c r="B1" s="63" t="s">
        <v>656</v>
      </c>
      <c r="C1" s="63" t="s">
        <v>657</v>
      </c>
      <c r="D1" s="63" t="s">
        <v>654</v>
      </c>
      <c r="E1" s="63" t="s">
        <v>655</v>
      </c>
    </row>
    <row r="2" spans="1:5" ht="15.75" thickBot="1">
      <c r="A2" s="58" t="s">
        <v>595</v>
      </c>
      <c r="B2" s="96">
        <v>0</v>
      </c>
      <c r="C2" s="96">
        <v>1</v>
      </c>
      <c r="D2" s="96">
        <v>1</v>
      </c>
      <c r="E2" s="96">
        <v>1</v>
      </c>
    </row>
    <row r="3" spans="1:5" ht="15.75" thickBot="1">
      <c r="A3" s="79" t="s">
        <v>597</v>
      </c>
      <c r="B3" s="96">
        <v>0</v>
      </c>
      <c r="C3" s="96">
        <v>1</v>
      </c>
      <c r="D3" s="96">
        <v>1</v>
      </c>
      <c r="E3" s="97">
        <v>1</v>
      </c>
    </row>
    <row r="4" spans="1:5" ht="15.75" thickBot="1">
      <c r="A4" s="58" t="s">
        <v>599</v>
      </c>
      <c r="B4" s="96">
        <v>0</v>
      </c>
      <c r="C4" s="96">
        <v>0</v>
      </c>
      <c r="D4" s="96">
        <v>0</v>
      </c>
      <c r="E4" s="96">
        <v>1</v>
      </c>
    </row>
    <row r="5" spans="1:5" ht="15.75" thickBot="1">
      <c r="A5" s="58" t="s">
        <v>600</v>
      </c>
      <c r="B5" s="96">
        <v>0</v>
      </c>
      <c r="C5" s="108">
        <v>1</v>
      </c>
      <c r="D5" s="96">
        <v>1</v>
      </c>
      <c r="E5" s="96">
        <v>1</v>
      </c>
    </row>
    <row r="6" spans="1:5" ht="15.75" thickBot="1">
      <c r="A6" s="58" t="s">
        <v>601</v>
      </c>
      <c r="B6" s="96">
        <v>0</v>
      </c>
      <c r="C6" s="96">
        <v>0.05</v>
      </c>
      <c r="D6" s="96">
        <v>0.05</v>
      </c>
      <c r="E6" s="96">
        <v>0.1</v>
      </c>
    </row>
    <row r="7" spans="1:5" ht="15.75" thickBot="1">
      <c r="A7" s="58" t="s">
        <v>602</v>
      </c>
      <c r="B7" s="96">
        <v>0</v>
      </c>
      <c r="C7" s="96">
        <v>0</v>
      </c>
      <c r="D7" s="96">
        <v>0</v>
      </c>
      <c r="E7" s="96">
        <v>0.02</v>
      </c>
    </row>
    <row r="8" spans="1:5" ht="15.75" thickBot="1">
      <c r="A8" s="58" t="s">
        <v>639</v>
      </c>
      <c r="B8" s="96">
        <v>0</v>
      </c>
      <c r="C8" s="96">
        <v>0</v>
      </c>
      <c r="D8" s="96">
        <v>0</v>
      </c>
      <c r="E8" s="96">
        <v>0</v>
      </c>
    </row>
    <row r="9" spans="1:5" ht="15.75" thickBot="1">
      <c r="A9" s="58" t="s">
        <v>640</v>
      </c>
      <c r="B9" s="96">
        <v>0</v>
      </c>
      <c r="C9" s="96">
        <v>0</v>
      </c>
      <c r="D9" s="96">
        <v>0</v>
      </c>
      <c r="E9" s="96">
        <v>0</v>
      </c>
    </row>
    <row r="10" spans="1:5" ht="15.75" thickBot="1">
      <c r="A10" s="58" t="s">
        <v>607</v>
      </c>
      <c r="B10" s="96">
        <v>0</v>
      </c>
      <c r="C10" s="96">
        <v>0</v>
      </c>
      <c r="D10" s="96">
        <v>0</v>
      </c>
      <c r="E10" s="96">
        <v>0.5</v>
      </c>
    </row>
    <row r="11" spans="1:5" ht="15.75" thickBot="1">
      <c r="A11" s="58" t="s">
        <v>609</v>
      </c>
      <c r="B11" s="96">
        <v>0</v>
      </c>
      <c r="C11" s="96">
        <v>0</v>
      </c>
      <c r="D11" s="96">
        <v>0</v>
      </c>
      <c r="E11" s="96">
        <v>0.5</v>
      </c>
    </row>
    <row r="12" spans="1:5" ht="15.75" thickBot="1">
      <c r="A12" s="58" t="s">
        <v>611</v>
      </c>
      <c r="B12" s="96">
        <v>0</v>
      </c>
      <c r="C12" s="96">
        <v>0</v>
      </c>
      <c r="D12" s="96">
        <v>0</v>
      </c>
      <c r="E12" s="96">
        <v>0</v>
      </c>
    </row>
    <row r="13" spans="1:5" ht="15.75" thickBot="1">
      <c r="A13" s="58" t="s">
        <v>612</v>
      </c>
      <c r="B13" s="96">
        <v>0</v>
      </c>
      <c r="C13" s="96">
        <v>0</v>
      </c>
      <c r="D13" s="96">
        <v>0</v>
      </c>
      <c r="E13" s="96">
        <v>0</v>
      </c>
    </row>
    <row r="14" spans="1:5" ht="15.75" thickBot="1">
      <c r="A14" s="58" t="s">
        <v>613</v>
      </c>
      <c r="B14" s="96">
        <v>0</v>
      </c>
      <c r="C14" s="96">
        <v>0</v>
      </c>
      <c r="D14" s="96">
        <v>0</v>
      </c>
      <c r="E14" s="96">
        <v>0</v>
      </c>
    </row>
    <row r="15" spans="1:5" ht="15.75" thickBot="1">
      <c r="A15" s="58" t="s">
        <v>614</v>
      </c>
      <c r="B15" s="96">
        <v>0</v>
      </c>
      <c r="C15" s="96">
        <v>0</v>
      </c>
      <c r="D15" s="96">
        <v>0</v>
      </c>
      <c r="E15" s="96">
        <v>0</v>
      </c>
    </row>
    <row r="16" spans="1:5" ht="15.75" thickBot="1">
      <c r="A16" s="58" t="s">
        <v>615</v>
      </c>
      <c r="B16" s="96">
        <v>0</v>
      </c>
      <c r="C16" s="96">
        <v>0</v>
      </c>
      <c r="D16" s="96">
        <v>0</v>
      </c>
      <c r="E16" s="96">
        <v>0</v>
      </c>
    </row>
    <row r="17" spans="1:5" ht="15.75" thickBot="1">
      <c r="A17" s="58" t="s">
        <v>616</v>
      </c>
      <c r="B17" s="96">
        <v>0</v>
      </c>
      <c r="C17" s="96">
        <v>0</v>
      </c>
      <c r="D17" s="96">
        <v>0</v>
      </c>
      <c r="E17" s="96">
        <v>0</v>
      </c>
    </row>
    <row r="18" spans="1:5" ht="15.75" thickBot="1">
      <c r="A18" s="58" t="s">
        <v>641</v>
      </c>
      <c r="B18" s="96">
        <v>0</v>
      </c>
      <c r="C18" s="96">
        <v>0</v>
      </c>
      <c r="D18" s="96">
        <v>0</v>
      </c>
      <c r="E18" s="96">
        <v>0.1</v>
      </c>
    </row>
    <row r="19" spans="1:5" ht="15.75" thickBot="1">
      <c r="A19" s="58" t="s">
        <v>618</v>
      </c>
      <c r="B19" s="96">
        <v>0</v>
      </c>
      <c r="C19" s="96">
        <v>0</v>
      </c>
      <c r="D19" s="96">
        <v>0</v>
      </c>
      <c r="E19" s="96">
        <v>0</v>
      </c>
    </row>
    <row r="20" spans="1:5" ht="15.75" thickBot="1">
      <c r="A20" s="58" t="s">
        <v>619</v>
      </c>
      <c r="B20" s="96">
        <v>0</v>
      </c>
      <c r="C20" s="96">
        <v>0</v>
      </c>
      <c r="D20" s="96">
        <v>0.1</v>
      </c>
      <c r="E20" s="96">
        <v>0.3</v>
      </c>
    </row>
    <row r="21" spans="1:5" ht="15.75" thickBot="1">
      <c r="A21" s="58" t="s">
        <v>621</v>
      </c>
      <c r="B21" s="96">
        <v>0</v>
      </c>
      <c r="C21" s="96">
        <v>0</v>
      </c>
      <c r="D21" s="96">
        <v>0</v>
      </c>
      <c r="E21" s="96">
        <v>0</v>
      </c>
    </row>
    <row r="22" spans="1:5" ht="15.75" thickBot="1">
      <c r="A22" s="58" t="s">
        <v>623</v>
      </c>
      <c r="B22" s="96">
        <v>0</v>
      </c>
      <c r="C22" s="96">
        <v>0</v>
      </c>
      <c r="D22" s="96">
        <v>0</v>
      </c>
      <c r="E22" s="96">
        <v>0</v>
      </c>
    </row>
  </sheetData>
  <conditionalFormatting sqref="B2:E22">
    <cfRule type="colorScale" priority="19">
      <colorScale>
        <cfvo type="min"/>
        <cfvo type="percentile" val="50"/>
        <cfvo type="max"/>
        <color rgb="FFF8696B"/>
        <color rgb="FFFFEB84"/>
        <color rgb="FF63BE7B"/>
      </colorScale>
    </cfRule>
    <cfRule type="iconSet" priority="20">
      <iconSet iconSet="5Quarters">
        <cfvo type="percent" val="0"/>
        <cfvo type="percent" val="20"/>
        <cfvo type="percent" val="40"/>
        <cfvo type="percent" val="60"/>
        <cfvo type="percent" val="80"/>
      </iconSet>
    </cfRule>
    <cfRule type="colorScale" priority="21">
      <colorScale>
        <cfvo type="min"/>
        <cfvo type="max"/>
        <color rgb="FFFCFCFF"/>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D2E9-45C2-4C25-9B72-A68574904735}">
  <sheetPr codeName="Sheet11"/>
  <dimension ref="A1:E16"/>
  <sheetViews>
    <sheetView workbookViewId="0">
      <selection activeCell="A11" sqref="A11"/>
    </sheetView>
  </sheetViews>
  <sheetFormatPr defaultColWidth="8.85546875" defaultRowHeight="15"/>
  <cols>
    <col min="1" max="1" width="92.85546875" bestFit="1" customWidth="1"/>
    <col min="2" max="2" width="13.42578125" bestFit="1" customWidth="1"/>
    <col min="3" max="3" width="15.85546875" bestFit="1" customWidth="1"/>
    <col min="4" max="4" width="17.42578125" bestFit="1" customWidth="1"/>
    <col min="5" max="5" width="12.42578125" bestFit="1" customWidth="1"/>
  </cols>
  <sheetData>
    <row r="1" spans="1:5" ht="15.75" thickBot="1">
      <c r="A1" s="63" t="s">
        <v>558</v>
      </c>
      <c r="B1" s="63" t="s">
        <v>658</v>
      </c>
      <c r="C1" s="63" t="s">
        <v>659</v>
      </c>
      <c r="D1" s="63" t="s">
        <v>660</v>
      </c>
      <c r="E1" s="63" t="s">
        <v>661</v>
      </c>
    </row>
    <row r="2" spans="1:5" ht="15.75" thickBot="1">
      <c r="A2" s="58" t="s">
        <v>560</v>
      </c>
      <c r="B2" s="96">
        <v>1</v>
      </c>
      <c r="C2" s="96">
        <v>1</v>
      </c>
      <c r="D2" s="96">
        <v>1</v>
      </c>
      <c r="E2" s="96">
        <v>1</v>
      </c>
    </row>
    <row r="3" spans="1:5" ht="15.75" thickBot="1">
      <c r="A3" s="79" t="s">
        <v>564</v>
      </c>
      <c r="B3" s="97">
        <v>1</v>
      </c>
      <c r="C3" s="97">
        <v>1</v>
      </c>
      <c r="D3" s="96">
        <v>1</v>
      </c>
      <c r="E3" s="97">
        <v>1</v>
      </c>
    </row>
    <row r="4" spans="1:5" ht="15.75" thickBot="1">
      <c r="A4" s="58" t="s">
        <v>566</v>
      </c>
      <c r="B4" s="96">
        <v>1</v>
      </c>
      <c r="C4" s="96">
        <v>1</v>
      </c>
      <c r="D4" s="96">
        <v>1</v>
      </c>
      <c r="E4" s="96">
        <v>1</v>
      </c>
    </row>
    <row r="5" spans="1:5" ht="15.75" thickBot="1">
      <c r="A5" s="58" t="s">
        <v>568</v>
      </c>
      <c r="B5" s="96">
        <v>1</v>
      </c>
      <c r="C5" s="96">
        <v>1</v>
      </c>
      <c r="D5" s="96">
        <v>1</v>
      </c>
      <c r="E5" s="96">
        <v>1</v>
      </c>
    </row>
    <row r="6" spans="1:5" ht="15.75" thickBot="1">
      <c r="A6" s="58" t="s">
        <v>570</v>
      </c>
      <c r="B6" s="96">
        <v>0.8</v>
      </c>
      <c r="C6" s="96">
        <v>1</v>
      </c>
      <c r="D6" s="96">
        <v>1</v>
      </c>
      <c r="E6" s="96">
        <v>1</v>
      </c>
    </row>
    <row r="7" spans="1:5" ht="15.75" thickBot="1">
      <c r="A7" s="58" t="s">
        <v>662</v>
      </c>
      <c r="B7" s="96">
        <v>0.95</v>
      </c>
      <c r="C7" s="96">
        <v>1</v>
      </c>
      <c r="D7" s="96">
        <v>0.95</v>
      </c>
      <c r="E7" s="96">
        <v>1</v>
      </c>
    </row>
    <row r="8" spans="1:5" ht="15.75" thickBot="1">
      <c r="A8" s="58" t="s">
        <v>574</v>
      </c>
      <c r="B8" s="96">
        <v>1</v>
      </c>
      <c r="C8" s="96">
        <v>1</v>
      </c>
      <c r="D8" s="96">
        <v>1</v>
      </c>
      <c r="E8" s="96">
        <v>1</v>
      </c>
    </row>
    <row r="9" spans="1:5" ht="15.75" thickBot="1">
      <c r="A9" s="58" t="s">
        <v>576</v>
      </c>
      <c r="B9" s="96">
        <v>1</v>
      </c>
      <c r="C9" s="96">
        <v>1</v>
      </c>
      <c r="D9" s="96">
        <v>1</v>
      </c>
      <c r="E9" s="96">
        <v>1</v>
      </c>
    </row>
    <row r="10" spans="1:5" ht="15.75" thickBot="1">
      <c r="A10" s="58" t="s">
        <v>578</v>
      </c>
      <c r="B10" s="96">
        <v>1</v>
      </c>
      <c r="C10" s="96">
        <v>1</v>
      </c>
      <c r="D10" s="96">
        <v>1</v>
      </c>
      <c r="E10" s="96">
        <v>1</v>
      </c>
    </row>
    <row r="11" spans="1:5" ht="15.75" thickBot="1">
      <c r="A11" s="58" t="s">
        <v>580</v>
      </c>
      <c r="B11" s="96">
        <v>0.7</v>
      </c>
      <c r="C11" s="96">
        <v>1</v>
      </c>
      <c r="D11" s="96">
        <v>1</v>
      </c>
      <c r="E11" s="96">
        <v>1</v>
      </c>
    </row>
    <row r="12" spans="1:5" ht="15.75" thickBot="1">
      <c r="A12" s="58" t="s">
        <v>582</v>
      </c>
      <c r="B12" s="96">
        <v>1</v>
      </c>
      <c r="C12" s="96">
        <v>1</v>
      </c>
      <c r="D12" s="96">
        <v>1</v>
      </c>
      <c r="E12" s="96">
        <v>1</v>
      </c>
    </row>
    <row r="13" spans="1:5" ht="15.75" thickBot="1">
      <c r="A13" s="58" t="s">
        <v>585</v>
      </c>
      <c r="B13" s="96">
        <v>1</v>
      </c>
      <c r="C13" s="96">
        <v>1</v>
      </c>
      <c r="D13" s="96">
        <v>1</v>
      </c>
      <c r="E13" s="96">
        <v>1</v>
      </c>
    </row>
    <row r="14" spans="1:5" ht="15.75" thickBot="1">
      <c r="A14" s="58" t="s">
        <v>588</v>
      </c>
      <c r="B14" s="96">
        <v>0.2</v>
      </c>
      <c r="C14" s="96">
        <v>0.8</v>
      </c>
      <c r="D14" s="96">
        <v>1</v>
      </c>
      <c r="E14" s="96">
        <v>1</v>
      </c>
    </row>
    <row r="15" spans="1:5" ht="15.75" thickBot="1">
      <c r="A15" s="98" t="s">
        <v>663</v>
      </c>
      <c r="B15" s="99"/>
      <c r="C15" s="99"/>
      <c r="D15" s="99"/>
      <c r="E15" s="99"/>
    </row>
    <row r="16" spans="1:5" ht="15.75" thickBot="1">
      <c r="A16" s="58" t="s">
        <v>590</v>
      </c>
      <c r="B16" s="96">
        <v>1</v>
      </c>
      <c r="C16" s="96">
        <v>1</v>
      </c>
      <c r="D16" s="99">
        <v>1</v>
      </c>
      <c r="E16" s="96">
        <v>1</v>
      </c>
    </row>
  </sheetData>
  <conditionalFormatting sqref="B2:E16">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G21"/>
  <sheetViews>
    <sheetView workbookViewId="0">
      <selection activeCell="B6" sqref="B6"/>
    </sheetView>
  </sheetViews>
  <sheetFormatPr defaultColWidth="8.85546875" defaultRowHeight="15"/>
  <cols>
    <col min="1" max="1" width="33.28515625" customWidth="1"/>
    <col min="2" max="2" width="51.42578125" customWidth="1"/>
    <col min="3" max="3" width="30" customWidth="1"/>
    <col min="4" max="4" width="47.42578125" customWidth="1"/>
    <col min="5" max="5" width="40" customWidth="1"/>
  </cols>
  <sheetData>
    <row r="1" spans="1:7" ht="32.25" thickBot="1">
      <c r="A1" s="5" t="s">
        <v>664</v>
      </c>
      <c r="B1" s="5" t="s">
        <v>665</v>
      </c>
      <c r="C1" s="5" t="s">
        <v>666</v>
      </c>
      <c r="D1" s="5" t="s">
        <v>667</v>
      </c>
      <c r="E1" s="5" t="s">
        <v>668</v>
      </c>
      <c r="F1" s="7"/>
      <c r="G1" s="7"/>
    </row>
    <row r="2" spans="1:7" ht="16.5" thickTop="1" thickBot="1">
      <c r="A2" s="1" t="s">
        <v>560</v>
      </c>
      <c r="B2" s="2" t="s">
        <v>669</v>
      </c>
      <c r="C2" s="89">
        <v>100</v>
      </c>
      <c r="D2" s="89">
        <v>50</v>
      </c>
      <c r="E2" s="89">
        <f t="shared" ref="E2:E11" si="0">C2-D2</f>
        <v>50</v>
      </c>
      <c r="F2" s="7"/>
      <c r="G2" s="7"/>
    </row>
    <row r="3" spans="1:7" ht="60.75" thickBot="1">
      <c r="A3" s="4" t="s">
        <v>670</v>
      </c>
      <c r="B3" s="2" t="s">
        <v>671</v>
      </c>
      <c r="C3" s="90">
        <v>80</v>
      </c>
      <c r="D3" s="8"/>
      <c r="E3" s="90">
        <f t="shared" si="0"/>
        <v>80</v>
      </c>
      <c r="F3" s="7"/>
      <c r="G3" s="7"/>
    </row>
    <row r="4" spans="1:7" ht="60.75" thickBot="1">
      <c r="A4" s="2" t="s">
        <v>568</v>
      </c>
      <c r="B4" s="2" t="s">
        <v>672</v>
      </c>
      <c r="C4" s="91">
        <v>40</v>
      </c>
      <c r="D4" s="9"/>
      <c r="E4" s="91">
        <f t="shared" si="0"/>
        <v>40</v>
      </c>
      <c r="F4" s="7"/>
      <c r="G4" s="7"/>
    </row>
    <row r="5" spans="1:7" ht="30.75" thickBot="1">
      <c r="A5" s="4" t="s">
        <v>570</v>
      </c>
      <c r="B5" s="2" t="s">
        <v>673</v>
      </c>
      <c r="C5" s="90">
        <v>60</v>
      </c>
      <c r="D5" s="8"/>
      <c r="E5" s="90">
        <f t="shared" si="0"/>
        <v>60</v>
      </c>
      <c r="F5" s="7"/>
      <c r="G5" s="7"/>
    </row>
    <row r="6" spans="1:7" ht="98.25" customHeight="1" thickBot="1">
      <c r="A6" s="92" t="s">
        <v>662</v>
      </c>
      <c r="B6" s="2" t="s">
        <v>674</v>
      </c>
      <c r="C6" s="93">
        <v>80</v>
      </c>
      <c r="D6" s="10"/>
      <c r="E6" s="93">
        <f t="shared" si="0"/>
        <v>80</v>
      </c>
      <c r="F6" s="7"/>
      <c r="G6" s="7"/>
    </row>
    <row r="7" spans="1:7" ht="30.75" thickBot="1">
      <c r="A7" s="94" t="s">
        <v>574</v>
      </c>
      <c r="B7" s="2" t="s">
        <v>675</v>
      </c>
      <c r="C7" s="95">
        <v>20</v>
      </c>
      <c r="D7" s="11"/>
      <c r="E7" s="95">
        <f t="shared" si="0"/>
        <v>20</v>
      </c>
      <c r="F7" s="7"/>
      <c r="G7" s="7"/>
    </row>
    <row r="8" spans="1:7" ht="60.75" thickBot="1">
      <c r="A8" s="92" t="s">
        <v>576</v>
      </c>
      <c r="B8" s="2" t="s">
        <v>676</v>
      </c>
      <c r="C8" s="93">
        <v>20</v>
      </c>
      <c r="D8" s="10"/>
      <c r="E8" s="93">
        <f t="shared" si="0"/>
        <v>20</v>
      </c>
      <c r="F8" s="7"/>
      <c r="G8" s="7"/>
    </row>
    <row r="9" spans="1:7" ht="60.75" thickBot="1">
      <c r="A9" s="4" t="s">
        <v>578</v>
      </c>
      <c r="B9" s="2" t="s">
        <v>677</v>
      </c>
      <c r="C9" s="90">
        <v>16</v>
      </c>
      <c r="D9" s="8"/>
      <c r="E9" s="90">
        <f t="shared" si="0"/>
        <v>16</v>
      </c>
      <c r="F9" s="7"/>
      <c r="G9" s="7"/>
    </row>
    <row r="10" spans="1:7" ht="30.75" thickBot="1">
      <c r="A10" s="2" t="s">
        <v>580</v>
      </c>
      <c r="B10" s="2" t="s">
        <v>678</v>
      </c>
      <c r="C10" s="91">
        <v>20</v>
      </c>
      <c r="D10" s="9"/>
      <c r="E10" s="91">
        <f t="shared" si="0"/>
        <v>20</v>
      </c>
      <c r="F10" s="7"/>
      <c r="G10" s="7"/>
    </row>
    <row r="11" spans="1:7" ht="45.75" thickBot="1">
      <c r="A11" s="94" t="s">
        <v>564</v>
      </c>
      <c r="B11" s="2"/>
      <c r="C11" s="95">
        <v>160</v>
      </c>
      <c r="D11" s="95">
        <v>55</v>
      </c>
      <c r="E11" s="95">
        <f t="shared" si="0"/>
        <v>105</v>
      </c>
      <c r="F11" s="7"/>
      <c r="G11" s="7"/>
    </row>
    <row r="12" spans="1:7" ht="24" thickBot="1">
      <c r="A12" s="6"/>
      <c r="B12" s="3" t="s">
        <v>24</v>
      </c>
      <c r="C12" s="12">
        <f>SUM(C2:C11)</f>
        <v>596</v>
      </c>
      <c r="D12" s="12">
        <f>SUM(D2:D11)</f>
        <v>105</v>
      </c>
      <c r="E12" s="12">
        <f>SUM(E2:E11)</f>
        <v>491</v>
      </c>
      <c r="F12" s="7"/>
      <c r="G12" s="7"/>
    </row>
    <row r="13" spans="1:7" ht="15.75" thickBot="1">
      <c r="A13" s="7"/>
      <c r="B13" s="7"/>
      <c r="C13" s="7"/>
      <c r="D13" s="13" t="s">
        <v>679</v>
      </c>
      <c r="E13" s="14">
        <f>E12/120</f>
        <v>4.0916666666666668</v>
      </c>
      <c r="F13" s="7"/>
      <c r="G13" s="7"/>
    </row>
    <row r="14" spans="1:7" ht="15.75" thickBot="1">
      <c r="A14" s="7"/>
      <c r="B14" s="7"/>
      <c r="C14" s="7"/>
      <c r="D14" s="13" t="s">
        <v>680</v>
      </c>
      <c r="E14" s="15">
        <f ca="1">NOW()+7*E13</f>
        <v>46127.144288657408</v>
      </c>
      <c r="F14" s="7"/>
      <c r="G14" s="7"/>
    </row>
    <row r="15" spans="1:7">
      <c r="A15" s="7"/>
      <c r="B15" s="7"/>
      <c r="C15" s="7"/>
      <c r="D15" s="7"/>
      <c r="E15" s="7"/>
      <c r="F15" s="7"/>
      <c r="G15" s="7"/>
    </row>
    <row r="16" spans="1:7">
      <c r="A16" s="7"/>
      <c r="B16" s="7"/>
      <c r="C16" s="7"/>
      <c r="D16" s="7"/>
      <c r="E16" s="7"/>
      <c r="F16" s="7"/>
      <c r="G16" s="7"/>
    </row>
    <row r="17" spans="1:7">
      <c r="A17" s="7"/>
      <c r="B17" s="7"/>
      <c r="C17" s="7"/>
      <c r="D17" s="7"/>
      <c r="E17" s="7"/>
      <c r="F17" s="7"/>
      <c r="G17" s="7"/>
    </row>
    <row r="18" spans="1:7">
      <c r="A18" s="7"/>
      <c r="B18" s="7"/>
      <c r="C18" s="7"/>
      <c r="D18" s="7"/>
      <c r="E18" s="7"/>
      <c r="F18" s="7"/>
      <c r="G18" s="7"/>
    </row>
    <row r="19" spans="1:7">
      <c r="A19" s="7"/>
      <c r="B19" s="7"/>
      <c r="C19" s="7"/>
      <c r="D19" s="7"/>
      <c r="E19" s="7"/>
      <c r="F19" s="7"/>
      <c r="G19" s="7"/>
    </row>
    <row r="20" spans="1:7">
      <c r="D20" s="7"/>
      <c r="E20" s="7"/>
      <c r="F20" s="7"/>
      <c r="G20" s="7"/>
    </row>
    <row r="21" spans="1:7">
      <c r="F21" s="7"/>
      <c r="G21" s="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3C6E-D367-4532-AE61-18779A29C56F}">
  <sheetPr codeName="Sheet13"/>
  <dimension ref="A1:E16"/>
  <sheetViews>
    <sheetView workbookViewId="0">
      <selection activeCell="A21" sqref="A21"/>
    </sheetView>
  </sheetViews>
  <sheetFormatPr defaultColWidth="8.85546875" defaultRowHeight="15"/>
  <cols>
    <col min="1" max="1" width="92.85546875" bestFit="1" customWidth="1"/>
    <col min="2" max="2" width="13.42578125" bestFit="1" customWidth="1"/>
    <col min="3" max="3" width="11.7109375" bestFit="1" customWidth="1"/>
    <col min="4" max="4" width="13.42578125" bestFit="1" customWidth="1"/>
    <col min="5" max="5" width="11.42578125" bestFit="1" customWidth="1"/>
  </cols>
  <sheetData>
    <row r="1" spans="1:5" ht="15.75" thickBot="1">
      <c r="A1" s="63" t="s">
        <v>558</v>
      </c>
      <c r="B1" s="63" t="s">
        <v>681</v>
      </c>
      <c r="C1" s="63" t="s">
        <v>682</v>
      </c>
      <c r="D1" s="63" t="s">
        <v>683</v>
      </c>
      <c r="E1" s="63" t="s">
        <v>684</v>
      </c>
    </row>
    <row r="2" spans="1:5" ht="15.75" thickBot="1">
      <c r="A2" s="58" t="s">
        <v>560</v>
      </c>
      <c r="B2" s="96">
        <v>1</v>
      </c>
      <c r="C2" s="96">
        <v>1</v>
      </c>
      <c r="D2" s="96">
        <v>1</v>
      </c>
      <c r="E2" s="96">
        <v>1</v>
      </c>
    </row>
    <row r="3" spans="1:5" ht="15.75" thickBot="1">
      <c r="A3" s="79" t="s">
        <v>564</v>
      </c>
      <c r="B3" s="97">
        <v>1</v>
      </c>
      <c r="C3" s="97">
        <v>1</v>
      </c>
      <c r="D3" s="97">
        <v>1</v>
      </c>
      <c r="E3" s="97">
        <v>1</v>
      </c>
    </row>
    <row r="4" spans="1:5" ht="15.75" thickBot="1">
      <c r="A4" s="58" t="s">
        <v>566</v>
      </c>
      <c r="B4" s="96">
        <v>0.6</v>
      </c>
      <c r="C4" s="96">
        <v>1</v>
      </c>
      <c r="D4" s="96">
        <v>1</v>
      </c>
      <c r="E4" s="96">
        <v>1</v>
      </c>
    </row>
    <row r="5" spans="1:5" ht="15.75" thickBot="1">
      <c r="A5" s="58" t="s">
        <v>568</v>
      </c>
      <c r="B5" s="96">
        <v>0.8</v>
      </c>
      <c r="C5" s="96">
        <v>1</v>
      </c>
      <c r="D5" s="96">
        <v>0.8</v>
      </c>
      <c r="E5" s="96">
        <v>1</v>
      </c>
    </row>
    <row r="6" spans="1:5" ht="15.75" thickBot="1">
      <c r="A6" s="58" t="s">
        <v>570</v>
      </c>
      <c r="B6" s="96">
        <v>0</v>
      </c>
      <c r="C6" s="96">
        <v>0.2</v>
      </c>
      <c r="D6" s="96">
        <v>0.2</v>
      </c>
      <c r="E6" s="96">
        <v>1</v>
      </c>
    </row>
    <row r="7" spans="1:5" ht="15.75" thickBot="1">
      <c r="A7" s="58" t="s">
        <v>662</v>
      </c>
      <c r="B7" s="96">
        <v>0</v>
      </c>
      <c r="C7" s="96">
        <v>0.8</v>
      </c>
      <c r="D7" s="96">
        <v>0.5</v>
      </c>
      <c r="E7" s="96">
        <v>1</v>
      </c>
    </row>
    <row r="8" spans="1:5" ht="15.75" thickBot="1">
      <c r="A8" s="58" t="s">
        <v>574</v>
      </c>
      <c r="B8" s="96">
        <v>0</v>
      </c>
      <c r="C8" s="96">
        <v>0</v>
      </c>
      <c r="D8" s="96">
        <v>0</v>
      </c>
      <c r="E8" s="96">
        <v>1</v>
      </c>
    </row>
    <row r="9" spans="1:5" ht="15.75" thickBot="1">
      <c r="A9" s="58" t="s">
        <v>576</v>
      </c>
      <c r="B9" s="96">
        <v>0</v>
      </c>
      <c r="C9" s="96">
        <v>0</v>
      </c>
      <c r="D9" s="96">
        <v>0</v>
      </c>
      <c r="E9" s="96">
        <v>0.2</v>
      </c>
    </row>
    <row r="10" spans="1:5" ht="15.75" thickBot="1">
      <c r="A10" s="58" t="s">
        <v>578</v>
      </c>
      <c r="B10" s="96">
        <v>0</v>
      </c>
      <c r="C10" s="96">
        <v>0</v>
      </c>
      <c r="D10" s="96">
        <v>0</v>
      </c>
      <c r="E10" s="96">
        <v>1</v>
      </c>
    </row>
    <row r="11" spans="1:5" ht="15.75" thickBot="1">
      <c r="A11" s="58" t="s">
        <v>580</v>
      </c>
      <c r="B11" s="96">
        <v>0</v>
      </c>
      <c r="C11" s="96">
        <v>0</v>
      </c>
      <c r="D11" s="96">
        <v>0</v>
      </c>
      <c r="E11" s="96">
        <v>0.2</v>
      </c>
    </row>
    <row r="12" spans="1:5" ht="15.75" thickBot="1">
      <c r="A12" s="58" t="s">
        <v>582</v>
      </c>
      <c r="B12" s="96">
        <v>0.4</v>
      </c>
      <c r="C12" s="96">
        <v>1</v>
      </c>
      <c r="D12" s="96">
        <v>0.4</v>
      </c>
      <c r="E12" s="96">
        <v>1</v>
      </c>
    </row>
    <row r="13" spans="1:5" ht="15.75" thickBot="1">
      <c r="A13" s="58" t="s">
        <v>585</v>
      </c>
      <c r="B13" s="96">
        <v>0</v>
      </c>
      <c r="C13" s="96">
        <v>0</v>
      </c>
      <c r="D13" s="96">
        <v>0</v>
      </c>
      <c r="E13" s="96">
        <v>0</v>
      </c>
    </row>
    <row r="14" spans="1:5" ht="15.75" thickBot="1">
      <c r="A14" s="58" t="s">
        <v>588</v>
      </c>
      <c r="B14" s="96">
        <v>0</v>
      </c>
      <c r="C14" s="96">
        <v>0</v>
      </c>
      <c r="D14" s="96">
        <v>0</v>
      </c>
      <c r="E14" s="96">
        <v>0.5</v>
      </c>
    </row>
    <row r="15" spans="1:5" ht="15.75" thickBot="1">
      <c r="A15" s="98" t="s">
        <v>663</v>
      </c>
      <c r="B15" s="99"/>
      <c r="C15" s="99"/>
      <c r="D15" s="99"/>
      <c r="E15" s="99"/>
    </row>
    <row r="16" spans="1:5" ht="15.75" thickBot="1">
      <c r="A16" s="58" t="s">
        <v>590</v>
      </c>
      <c r="B16" s="96">
        <v>1</v>
      </c>
      <c r="C16" s="96">
        <v>1</v>
      </c>
      <c r="D16" s="96">
        <v>1</v>
      </c>
      <c r="E16" s="96">
        <v>1</v>
      </c>
    </row>
  </sheetData>
  <conditionalFormatting sqref="B2:E16">
    <cfRule type="colorScale" priority="1">
      <colorScale>
        <cfvo type="min"/>
        <cfvo type="percentile" val="50"/>
        <cfvo type="max"/>
        <color rgb="FFF8696B"/>
        <color rgb="FFFFEB84"/>
        <color rgb="FF63BE7B"/>
      </colorScale>
    </cfRule>
    <cfRule type="iconSet" priority="2">
      <iconSet iconSet="5Quarters">
        <cfvo type="percent" val="0"/>
        <cfvo type="percent" val="20"/>
        <cfvo type="percent" val="40"/>
        <cfvo type="percent" val="60"/>
        <cfvo type="percent" val="80"/>
      </iconSet>
    </cfRule>
    <cfRule type="colorScale" priority="3">
      <colorScale>
        <cfvo type="min"/>
        <cfvo type="max"/>
        <color rgb="FFFCFCFF"/>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BFE7-3905-4F5A-BCB1-DF31C769F249}">
  <sheetPr codeName="Sheet14"/>
  <dimension ref="A1:E15"/>
  <sheetViews>
    <sheetView workbookViewId="0">
      <selection activeCell="A13" sqref="A13"/>
    </sheetView>
  </sheetViews>
  <sheetFormatPr defaultColWidth="8.85546875" defaultRowHeight="15"/>
  <cols>
    <col min="1" max="1" width="92.85546875" bestFit="1" customWidth="1"/>
    <col min="2" max="2" width="13.42578125" bestFit="1" customWidth="1"/>
    <col min="3" max="3" width="11.7109375" bestFit="1" customWidth="1"/>
    <col min="4" max="4" width="13.42578125" bestFit="1" customWidth="1"/>
    <col min="5" max="5" width="11.42578125" bestFit="1" customWidth="1"/>
  </cols>
  <sheetData>
    <row r="1" spans="1:5" ht="15.75" thickBot="1">
      <c r="A1" s="63" t="s">
        <v>558</v>
      </c>
      <c r="B1" s="63" t="s">
        <v>685</v>
      </c>
      <c r="C1" s="63" t="s">
        <v>686</v>
      </c>
      <c r="D1" s="63" t="s">
        <v>687</v>
      </c>
      <c r="E1" s="63" t="s">
        <v>688</v>
      </c>
    </row>
    <row r="2" spans="1:5" ht="15.75" thickBot="1">
      <c r="A2" s="58" t="s">
        <v>560</v>
      </c>
      <c r="B2" s="96">
        <v>0.8</v>
      </c>
      <c r="C2" s="96">
        <v>1</v>
      </c>
      <c r="D2" s="96">
        <v>1</v>
      </c>
      <c r="E2" s="96">
        <v>1</v>
      </c>
    </row>
    <row r="3" spans="1:5" ht="15.75" thickBot="1">
      <c r="A3" s="79" t="s">
        <v>564</v>
      </c>
      <c r="B3" s="97">
        <v>0.8</v>
      </c>
      <c r="C3" s="97">
        <v>1</v>
      </c>
      <c r="D3" s="97">
        <v>1</v>
      </c>
      <c r="E3" s="97">
        <v>1</v>
      </c>
    </row>
    <row r="4" spans="1:5" ht="15.75" thickBot="1">
      <c r="A4" s="58" t="s">
        <v>566</v>
      </c>
      <c r="B4" s="96">
        <v>0</v>
      </c>
      <c r="C4" s="96">
        <v>1</v>
      </c>
      <c r="D4" s="96">
        <v>0.6</v>
      </c>
      <c r="E4" s="96">
        <v>1</v>
      </c>
    </row>
    <row r="5" spans="1:5" ht="15.75" thickBot="1">
      <c r="A5" s="58" t="s">
        <v>568</v>
      </c>
      <c r="B5" s="96">
        <v>0.7</v>
      </c>
      <c r="C5" s="96">
        <v>1</v>
      </c>
      <c r="D5" s="96">
        <v>0.8</v>
      </c>
      <c r="E5" s="96">
        <v>1</v>
      </c>
    </row>
    <row r="6" spans="1:5" ht="15.75" thickBot="1">
      <c r="A6" s="58" t="s">
        <v>570</v>
      </c>
      <c r="B6" s="96">
        <v>0</v>
      </c>
      <c r="C6" s="96">
        <v>0</v>
      </c>
      <c r="D6" s="96">
        <v>0</v>
      </c>
      <c r="E6" s="96">
        <v>0.2</v>
      </c>
    </row>
    <row r="7" spans="1:5" ht="15.75" thickBot="1">
      <c r="A7" s="58" t="s">
        <v>662</v>
      </c>
      <c r="B7" s="96">
        <v>0</v>
      </c>
      <c r="C7" s="96">
        <v>0</v>
      </c>
      <c r="D7" s="96">
        <v>0</v>
      </c>
      <c r="E7" s="96">
        <v>0.8</v>
      </c>
    </row>
    <row r="8" spans="1:5" ht="15.75" thickBot="1">
      <c r="A8" s="58" t="s">
        <v>574</v>
      </c>
      <c r="B8" s="96">
        <v>0</v>
      </c>
      <c r="C8" s="96">
        <v>0</v>
      </c>
      <c r="D8" s="96">
        <v>0</v>
      </c>
      <c r="E8" s="96">
        <v>0</v>
      </c>
    </row>
    <row r="9" spans="1:5" ht="15.75" thickBot="1">
      <c r="A9" s="58" t="s">
        <v>576</v>
      </c>
      <c r="B9" s="96">
        <v>0</v>
      </c>
      <c r="C9" s="96">
        <v>0</v>
      </c>
      <c r="D9" s="96">
        <v>0</v>
      </c>
      <c r="E9" s="96">
        <v>0</v>
      </c>
    </row>
    <row r="10" spans="1:5" ht="15.75" thickBot="1">
      <c r="A10" s="58" t="s">
        <v>578</v>
      </c>
      <c r="B10" s="96">
        <v>0</v>
      </c>
      <c r="C10" s="96">
        <v>0</v>
      </c>
      <c r="D10" s="96">
        <v>0</v>
      </c>
      <c r="E10" s="96">
        <v>0</v>
      </c>
    </row>
    <row r="11" spans="1:5" ht="15.75" thickBot="1">
      <c r="A11" s="58" t="s">
        <v>580</v>
      </c>
      <c r="B11" s="96">
        <v>0</v>
      </c>
      <c r="C11" s="96">
        <v>0</v>
      </c>
      <c r="D11" s="96">
        <v>0</v>
      </c>
      <c r="E11" s="96">
        <v>0</v>
      </c>
    </row>
    <row r="12" spans="1:5" ht="15.75" thickBot="1">
      <c r="A12" s="58" t="s">
        <v>582</v>
      </c>
      <c r="B12" s="96">
        <v>0.1</v>
      </c>
      <c r="C12" s="96">
        <v>0.8</v>
      </c>
      <c r="D12" s="96">
        <v>0.4</v>
      </c>
      <c r="E12" s="96">
        <v>1</v>
      </c>
    </row>
    <row r="13" spans="1:5" ht="15.75" thickBot="1">
      <c r="A13" s="58" t="s">
        <v>585</v>
      </c>
      <c r="B13" s="96">
        <v>0</v>
      </c>
      <c r="C13" s="96">
        <v>0</v>
      </c>
      <c r="D13" s="96">
        <v>0</v>
      </c>
      <c r="E13" s="96">
        <v>0</v>
      </c>
    </row>
    <row r="14" spans="1:5" ht="15.75" thickBot="1">
      <c r="A14" s="58" t="s">
        <v>598</v>
      </c>
      <c r="B14" s="96">
        <v>0</v>
      </c>
      <c r="C14" s="96">
        <v>0</v>
      </c>
      <c r="D14" s="96">
        <v>0</v>
      </c>
      <c r="E14" s="96">
        <v>0</v>
      </c>
    </row>
    <row r="15" spans="1:5" ht="15.75" thickBot="1">
      <c r="A15" s="58" t="s">
        <v>590</v>
      </c>
      <c r="B15" s="96">
        <v>0.2</v>
      </c>
      <c r="C15" s="96">
        <v>0.2</v>
      </c>
      <c r="D15" s="96">
        <v>1</v>
      </c>
      <c r="E15" s="96">
        <v>1</v>
      </c>
    </row>
  </sheetData>
  <conditionalFormatting sqref="B2:E15">
    <cfRule type="iconSet" priority="1">
      <iconSet iconSet="5Quarters">
        <cfvo type="percent" val="0"/>
        <cfvo type="percent" val="20"/>
        <cfvo type="percent" val="40"/>
        <cfvo type="percent" val="60"/>
        <cfvo type="percent" val="80"/>
      </iconSet>
    </cfRule>
    <cfRule type="colorScale" priority="2">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d4eaa8e-3513-4a40-91bb-6c7607078883">
      <Terms xmlns="http://schemas.microsoft.com/office/infopath/2007/PartnerControls"/>
    </lcf76f155ced4ddcb4097134ff3c332f>
    <TaxCatchAll xmlns="08bf4fe4-d31b-4df2-8d32-5231ad1e8f90" xsi:nil="true"/>
    <_dlc_DocId xmlns="08bf4fe4-d31b-4df2-8d32-5231ad1e8f90">JQTRFD74NS5Q-39203596-88792</_dlc_DocId>
    <_dlc_DocIdUrl xmlns="08bf4fe4-d31b-4df2-8d32-5231ad1e8f90">
      <Url>https://ycconsultingbiz425.sharepoint.com/sites/adkfragrancefarm/_layouts/15/DocIdRedir.aspx?ID=JQTRFD74NS5Q-39203596-88792</Url>
      <Description>JQTRFD74NS5Q-39203596-88792</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C9B9243818C5D4AA7FFE3E6F630E1E3" ma:contentTypeVersion="18" ma:contentTypeDescription="Create a new document." ma:contentTypeScope="" ma:versionID="4f25778419c89de0fe45337bcd91bb53">
  <xsd:schema xmlns:xsd="http://www.w3.org/2001/XMLSchema" xmlns:xs="http://www.w3.org/2001/XMLSchema" xmlns:p="http://schemas.microsoft.com/office/2006/metadata/properties" xmlns:ns2="2d4eaa8e-3513-4a40-91bb-6c7607078883" xmlns:ns3="08bf4fe4-d31b-4df2-8d32-5231ad1e8f90" targetNamespace="http://schemas.microsoft.com/office/2006/metadata/properties" ma:root="true" ma:fieldsID="8093dddb05c43b079b58eecadb5abcdf" ns2:_="" ns3:_="">
    <xsd:import namespace="2d4eaa8e-3513-4a40-91bb-6c7607078883"/>
    <xsd:import namespace="08bf4fe4-d31b-4df2-8d32-5231ad1e8f9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_dlc_DocId" minOccurs="0"/>
                <xsd:element ref="ns3:_dlc_DocIdUrl" minOccurs="0"/>
                <xsd:element ref="ns3:_dlc_DocIdPersistI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4eaa8e-3513-4a40-91bb-6c76070788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1f5c3f6-3cfe-455b-9b3b-a24d8dbf81a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bf4fe4-d31b-4df2-8d32-5231ad1e8f90" elementFormDefault="qualified">
    <xsd:import namespace="http://schemas.microsoft.com/office/2006/documentManagement/types"/>
    <xsd:import namespace="http://schemas.microsoft.com/office/infopath/2007/PartnerControls"/>
    <xsd:element name="_dlc_DocId" ma:index="12" nillable="true" ma:displayName="Document ID Value" ma:description="The value of the document ID assigned to this item." ma:indexed="true" ma:internalName="_dlc_DocId" ma:readOnly="true">
      <xsd:simpleType>
        <xsd:restriction base="dms:Text"/>
      </xsd:simpleType>
    </xsd:element>
    <xsd:element name="_dlc_DocIdUrl" ma:index="1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4" nillable="true" ma:displayName="Persist ID" ma:description="Keep ID on add." ma:hidden="true" ma:internalName="_dlc_DocIdPersistId" ma:readOnly="true">
      <xsd:simpleType>
        <xsd:restriction base="dms:Boolean"/>
      </xsd:simpleType>
    </xsd:element>
    <xsd:element name="TaxCatchAll" ma:index="24" nillable="true" ma:displayName="Taxonomy Catch All Column" ma:hidden="true" ma:list="{57600ca1-ae9a-492f-8aa7-b5a7a35a933f}" ma:internalName="TaxCatchAll" ma:showField="CatchAllData" ma:web="08bf4fe4-d31b-4df2-8d32-5231ad1e8f90">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E9361-77DE-4330-B2FA-626C6876C48E}"/>
</file>

<file path=customXml/itemProps2.xml><?xml version="1.0" encoding="utf-8"?>
<ds:datastoreItem xmlns:ds="http://schemas.openxmlformats.org/officeDocument/2006/customXml" ds:itemID="{A243A588-D507-4389-B26E-D53F690BD0AE}"/>
</file>

<file path=customXml/itemProps3.xml><?xml version="1.0" encoding="utf-8"?>
<ds:datastoreItem xmlns:ds="http://schemas.openxmlformats.org/officeDocument/2006/customXml" ds:itemID="{5F608AE1-B1D3-462D-9B43-702E056627E0}"/>
</file>

<file path=customXml/itemProps4.xml><?xml version="1.0" encoding="utf-8"?>
<ds:datastoreItem xmlns:ds="http://schemas.openxmlformats.org/officeDocument/2006/customXml" ds:itemID="{56C8E29F-7561-4797-924B-84A403F5A3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Clark Maine</dc:creator>
  <cp:keywords/>
  <dc:description/>
  <cp:lastModifiedBy>Elisabeth</cp:lastModifiedBy>
  <cp:revision/>
  <dcterms:created xsi:type="dcterms:W3CDTF">2015-06-05T18:17:20Z</dcterms:created>
  <dcterms:modified xsi:type="dcterms:W3CDTF">2026-03-17T16:04:15Z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0x010100BC9B9243818C5D4AA7FFE3E6F630E1E3</vt:lpwstr>
  </property>
  <property fmtid="{D5CDD505-2E9C-101B-9397-08002B2CF9AE}" pid="3" name="MediaServiceImageTags">
    <vt:lpwstr/>
  </property>
  <property fmtid="{D5CDD505-2E9C-101B-9397-08002B2CF9AE}" pid="4" name="_dlc_DocIdItemGuid">
    <vt:lpwstr>4e677fe4-eef8-4c25-bdcd-3ac45872dba3</vt:lpwstr>
  </property>
</Properties>
</file>